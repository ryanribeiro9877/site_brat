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umario_Executivo" sheetId="1" state="visible" r:id="rId3"/>
    <sheet name="1_Cadastro" sheetId="2" state="visible" r:id="rId4"/>
    <sheet name="2_O_Que_Compra" sheetId="3" state="visible" r:id="rId5"/>
    <sheet name="3_O_Que_Vende" sheetId="4" state="visible" r:id="rId6"/>
    <sheet name="4_Tributos_Estimados" sheetId="5" state="visible" r:id="rId7"/>
    <sheet name="5_Comex" sheetId="6" state="visible" r:id="rId8"/>
    <sheet name="6_Oportunidades_Brat" sheetId="7" state="visible" r:id="rId9"/>
    <sheet name="7_Fontes" sheetId="8" state="visible" r:id="rId10"/>
    <sheet name="8_Pitch_Cooperativo" sheetId="9" state="visible" r:id="rId11"/>
    <sheet name="9_Caso_Lenha_R$50mi" sheetId="10" state="visible" r:id="rId12"/>
    <sheet name="10_Engenharia_Tributaria" sheetId="11" state="visible" r:id="rId13"/>
    <sheet name="11_Cadastro_Fornecedor" sheetId="12" state="visible" r:id="rId14"/>
    <sheet name="12_Base_Legal_Cooperativismo" sheetId="13" state="visible" r:id="rId15"/>
    <sheet name="13_Pontos_Atencao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<sst xmlns="http://schemas.openxmlformats.org/spreadsheetml/2006/main" count="2149" uniqueCount="1694">
  <si>
    <t xml:space="preserve">DOSSIÊ ESTRATÉGICO — OLEOPLAN NORDESTE / IRAQUARA-BA</t>
  </si>
  <si>
    <t xml:space="preserve">IDENTIFICAÇÃO DO ALVO</t>
  </si>
  <si>
    <t xml:space="preserve">Razão Social</t>
  </si>
  <si>
    <t xml:space="preserve">OLEOPLAN NORDESTE INDÚSTRIA DE BIOCOMBUSTÍVEL LTDA.</t>
  </si>
  <si>
    <t xml:space="preserve">CNPJ (filial Iraquara)</t>
  </si>
  <si>
    <t xml:space="preserve">13.463.913/0003-58</t>
  </si>
  <si>
    <t xml:space="preserve">CNPJ Matriz</t>
  </si>
  <si>
    <t xml:space="preserve">13.463.913/0001-96 (Porto Alegre/RS)</t>
  </si>
  <si>
    <t xml:space="preserve">Endereço</t>
  </si>
  <si>
    <t xml:space="preserve">Rodovia BR-122, S/N, KM 32, Zona Industrial — Iraquara/BA — CEP 46980-000</t>
  </si>
  <si>
    <t xml:space="preserve">CNAE Principal</t>
  </si>
  <si>
    <t xml:space="preserve">1932-2/00 — Fabricação de biocombustíveis, exceto álcool</t>
  </si>
  <si>
    <t xml:space="preserve">Capital Social</t>
  </si>
  <si>
    <t xml:space="preserve">R$ 142.554.006,00</t>
  </si>
  <si>
    <t xml:space="preserve">Natureza Jurídica</t>
  </si>
  <si>
    <t xml:space="preserve">2062 — Sociedade Empresária Limitada (Filial)</t>
  </si>
  <si>
    <t xml:space="preserve">Situação Cadastral</t>
  </si>
  <si>
    <t xml:space="preserve">ATIVA desde 16/12/2011</t>
  </si>
  <si>
    <t xml:space="preserve">E-mail Cadastral</t>
  </si>
  <si>
    <t xml:space="preserve">fiscal@oleoplan.com.br</t>
  </si>
  <si>
    <t xml:space="preserve">Controlador</t>
  </si>
  <si>
    <t xml:space="preserve">Família Boff (RS) — Oleoplan S.A. Óleos Vegetais Planalto</t>
  </si>
  <si>
    <t xml:space="preserve">PERFIL DO NEGÓCIO NA UNIDADE IRAQUARA</t>
  </si>
  <si>
    <t xml:space="preserve">O que é</t>
  </si>
  <si>
    <t xml:space="preserve">Complexo industrial integrado: esmagadora de soja + planta de extração de óleo + planta de esterificação (biodiesel) + bidestilaria de glicerina + sistema de transbordo ferroviário</t>
  </si>
  <si>
    <t xml:space="preserve">O que faz</t>
  </si>
  <si>
    <t xml:space="preserve">Recebe soja, esmaga (extrai óleo e farelo), converte óleo de soja + sebo bovino + óleo residual em biodiesel B100 via transesterificação com metanol; comercializa biodiesel em leilões da ANP, farelo, óleo, glicerina, casca e lecitina</t>
  </si>
  <si>
    <t xml:space="preserve">Capacidade atual de biodiesel</t>
  </si>
  <si>
    <t xml:space="preserve">1,3 milhão de litros/dia → expansão para 1,65 milhão de litros/dia (ANP autoriza até 468 mil m³/ano após ampliação anterior; pós 2026 será a maior do grupo)</t>
  </si>
  <si>
    <t xml:space="preserve">Capacidade de esmagamento</t>
  </si>
  <si>
    <t xml:space="preserve">~3.000 a 4.500 toneladas de soja/dia (conjunto Iraquara + Veranópolis)</t>
  </si>
  <si>
    <t xml:space="preserve">Empregos diretos (Iraquara)</t>
  </si>
  <si>
    <t xml:space="preserve">Investimentos 2024-2026</t>
  </si>
  <si>
    <t xml:space="preserve">R$ 105 mi (2024) + R$ 300 mi previstos até 2026 = R$ 405 mi total</t>
  </si>
  <si>
    <t xml:space="preserve">Compras anuais via agricultura familiar (BA)</t>
  </si>
  <si>
    <t xml:space="preserve">R$ 199 milhões/ano (Selo Biocombustível Social)</t>
  </si>
  <si>
    <t xml:space="preserve">Posição de mercado (grupo)</t>
  </si>
  <si>
    <t xml:space="preserve">2ª maior produtora de biodiesel do Brasil em 2024 — 867,8 mil m³ vendidos (vs Be8: 875 mil m³); ~10-11% market share nacional</t>
  </si>
  <si>
    <t xml:space="preserve">Receita líquida grupo Oleoplan 2024</t>
  </si>
  <si>
    <t xml:space="preserve">R$ 6,59 bilhões (lucro líquido R$ 828 mi; margem EBITDA 17%)</t>
  </si>
  <si>
    <t xml:space="preserve">Volume processado (RenovaCalc 2024)</t>
  </si>
  <si>
    <t xml:space="preserve">658.414 toneladas de soja/ciclo — rendimento 203,3 kg óleo/t e 771,3 kg farelo/t</t>
  </si>
  <si>
    <t xml:space="preserve">ANGULOS DE OPORTUNIDADE PARA BRAT CARGAS / BRAT AGRO</t>
  </si>
  <si>
    <t xml:space="preserve">#1 Frete soja (recepção)</t>
  </si>
  <si>
    <t xml:space="preserve">658 mil t/ano de soja chegando à fábrica — Oeste Baiano (LEM, Barreiras, São Desidério, Correntina) e Centro-Oeste. Frete RODOVIÁRIO de longa distância. ATO COOPERADO de transporte (LC 214/2025) elimina IBS/CBS no frete cooperado.</t>
  </si>
  <si>
    <t xml:space="preserve">#2 Frete farelo de soja (saída)</t>
  </si>
  <si>
    <t xml:space="preserve">~507 mil t farelo/ano. Destinos: avicultura/pecuária Nordeste + portos (Salvador/Aratu, Suape) para exportação. Mais frete pesado contínuo.</t>
  </si>
  <si>
    <t xml:space="preserve">#3 Frete biodiesel (saída)</t>
  </si>
  <si>
    <t xml:space="preserve">Após expansão: 1,65 mi L/dia ≈ 600 mil m³/ano. Distribuído em todo Nordeste para distribuidoras (Vibra, Raízen, Ipiranga). Frete químico em tanque.</t>
  </si>
  <si>
    <t xml:space="preserve">#4 Compra centralizada de metanol</t>
  </si>
  <si>
    <t xml:space="preserve">Insumo crítico importado (HS 29 confirmado em Comex). 100-110 kg metanol/m³ biodiesel. ~60-65 mil t/ano de metanol. Cooperativa pode importar coletivamente e revender com diferimento ICMS via DESENVOLVE/PROIND.</t>
  </si>
  <si>
    <t xml:space="preserve">#5 Compra de soja agricultura familiar</t>
  </si>
  <si>
    <t xml:space="preserve">Selo Biocombustível Social exige 30% de aquisições do Pronaf na BA. Brat Agro pode atuar como cooperativa-âncora dessa originação no Oeste/MATOPIBA — recebe ICMS diferido e Oleoplan ganha pontos no Selo.</t>
  </si>
  <si>
    <t xml:space="preserve">#6 Compra de sebo bovino</t>
  </si>
  <si>
    <t xml:space="preserve">Insumo alternativo (HS 15). Frigoríficos do interior baiano + Tocantins. Brat Cargas pode operar coleta + Brat Agro consolidar oferta.</t>
  </si>
  <si>
    <t xml:space="preserve">#7 Diesel B100/B15 — combustível para frota cooperada</t>
  </si>
  <si>
    <t xml:space="preserve">Oleoplan tem autorização ANP para uso de B100 puro na própria frota (publicado DOU 02/dez). Brat Cargas pode comprar B100 direto da fábrica e usar em frota cooperada — abate IBS/CBS na cadeia.</t>
  </si>
  <si>
    <t xml:space="preserve">AVISO METODOLÓGICO</t>
  </si>
  <si>
    <t xml:space="preserve">Os números de carga tributária por imposto são ESTIMATIVAS técnicas calculadas a partir de:
(1) Volumes públicos divulgados pela própria Oleoplan / ANP / Moody's Local Brasil;
(2) Alíquotas legais vigentes (ICMS monofásico ad rem Conv.199/2022, PIS/COFINS Lei 11.116/2005, IRPJ/CSLL Lucro Real, INSS Funrural, etc.);
(3) Benefícios fiscais aplicáveis ao biodiesel na Bahia: Decreto BA 22.266/2023 (crédito presumido 93% ICMS sobre débito biodiesel) ou DESENVOLVE/PROIND.
Os valores efetivos pagos por tributo só constam em SPED, ECF e DCTF — protegidos por sigilo fiscal (CTN art. 198). Os valores aqui são a melhor estimativa pública possível por engenharia reversa a partir de receita, volume e regime.</t>
  </si>
  <si>
    <t xml:space="preserve">FICHA CADASTRAL COMPLETA</t>
  </si>
  <si>
    <t xml:space="preserve">RECEITA FEDERAL — CNPJ 13.463.913/0003-58</t>
  </si>
  <si>
    <t xml:space="preserve">Campo</t>
  </si>
  <si>
    <t xml:space="preserve">Valor</t>
  </si>
  <si>
    <t xml:space="preserve">Nome Fantasia</t>
  </si>
  <si>
    <t xml:space="preserve">Oleoplan Nordeste</t>
  </si>
  <si>
    <t xml:space="preserve">CNPJ</t>
  </si>
  <si>
    <t xml:space="preserve">Tipo de Estabelecimento</t>
  </si>
  <si>
    <t xml:space="preserve">Filial</t>
  </si>
  <si>
    <t xml:space="preserve">Data de Abertura</t>
  </si>
  <si>
    <t xml:space="preserve">16/12/2011</t>
  </si>
  <si>
    <t xml:space="preserve">ATIVA</t>
  </si>
  <si>
    <t xml:space="preserve">Motivo da Situação</t>
  </si>
  <si>
    <t xml:space="preserve">Sem motivo</t>
  </si>
  <si>
    <t xml:space="preserve">2062 — Sociedade Empresária Limitada</t>
  </si>
  <si>
    <t xml:space="preserve">Porte</t>
  </si>
  <si>
    <t xml:space="preserve">Demais (Grande Porte)</t>
  </si>
  <si>
    <t xml:space="preserve">Optante Simples Nacional</t>
  </si>
  <si>
    <t xml:space="preserve">NÃO (atividade vedada — fabricação de combustíveis)</t>
  </si>
  <si>
    <t xml:space="preserve">Optante MEI</t>
  </si>
  <si>
    <t xml:space="preserve">NÃO</t>
  </si>
  <si>
    <t xml:space="preserve">CNAE Secundário 1</t>
  </si>
  <si>
    <t xml:space="preserve">1041-4/00 — Fabricação de óleos vegetais em bruto, exceto óleo de milho</t>
  </si>
  <si>
    <t xml:space="preserve">CNAE Secundário 2</t>
  </si>
  <si>
    <t xml:space="preserve">6399-2/00 — Outras atividades de prestação de serviços de informação</t>
  </si>
  <si>
    <t xml:space="preserve">CNAE Secundário 3</t>
  </si>
  <si>
    <t xml:space="preserve">7490-1/99 — Outras atividades profissionais, científicas e técnicas</t>
  </si>
  <si>
    <t xml:space="preserve">CNAE Secundário 4</t>
  </si>
  <si>
    <t xml:space="preserve">(declarados +1 — confirmar via cartão CNPJ atualizado)</t>
  </si>
  <si>
    <t xml:space="preserve">Logradouro</t>
  </si>
  <si>
    <t xml:space="preserve">Rodovia BR 122, S/N, KM 32</t>
  </si>
  <si>
    <t xml:space="preserve">Bairro</t>
  </si>
  <si>
    <t xml:space="preserve">Zona Industrial</t>
  </si>
  <si>
    <t xml:space="preserve">Município/UF</t>
  </si>
  <si>
    <t xml:space="preserve">Iraquara / BA</t>
  </si>
  <si>
    <t xml:space="preserve">CEP</t>
  </si>
  <si>
    <t xml:space="preserve">46980-000</t>
  </si>
  <si>
    <t xml:space="preserve">Telefone</t>
  </si>
  <si>
    <t xml:space="preserve">(51) 3329-5555</t>
  </si>
  <si>
    <t xml:space="preserve">E-mail</t>
  </si>
  <si>
    <t xml:space="preserve">QUADRO SOCIETÁRIO E ADMINISTRAÇÃO</t>
  </si>
  <si>
    <t xml:space="preserve">Nome</t>
  </si>
  <si>
    <t xml:space="preserve">Qualificação</t>
  </si>
  <si>
    <t xml:space="preserve">Entrada</t>
  </si>
  <si>
    <t xml:space="preserve">OLEOPLAN S.A. ÓLEOS VEGETAIS PLANALTO (CNPJ 87.676.127/0001-XX)</t>
  </si>
  <si>
    <t xml:space="preserve">Sócio (controladora 100%)</t>
  </si>
  <si>
    <t xml:space="preserve">20/04/2012</t>
  </si>
  <si>
    <t xml:space="preserve">Irineu Boff</t>
  </si>
  <si>
    <t xml:space="preserve">Sócio-Administrador / Presidente do Conselho</t>
  </si>
  <si>
    <t xml:space="preserve">Marcos Merlin Boff</t>
  </si>
  <si>
    <t xml:space="preserve">Administrador / CEO do grupo</t>
  </si>
  <si>
    <t xml:space="preserve">06/03/2014</t>
  </si>
  <si>
    <t xml:space="preserve">Jussara Teresinha Scheffel</t>
  </si>
  <si>
    <t xml:space="preserve">Administradora</t>
  </si>
  <si>
    <t xml:space="preserve">24/09/2024</t>
  </si>
  <si>
    <t xml:space="preserve">Leonardo Botelho Zilio</t>
  </si>
  <si>
    <t xml:space="preserve">Administrador</t>
  </si>
  <si>
    <t xml:space="preserve">—</t>
  </si>
  <si>
    <t xml:space="preserve">CADASTRO ESTADUAL — SEFAZ-BA (SINTEGRA)</t>
  </si>
  <si>
    <t xml:space="preserve">Inscrição Estadual</t>
  </si>
  <si>
    <t xml:space="preserve">Não publicada em base aberta — consultar SINTEGRA-BA: http://sistemas.sefaz.ba.gov.br/sintegra</t>
  </si>
  <si>
    <t xml:space="preserve">Regime de Apuração ICMS</t>
  </si>
  <si>
    <t xml:space="preserve">Normal — Apuração mensal (Lucro Real / não-Simples)</t>
  </si>
  <si>
    <t xml:space="preserve">Inscrição CNAE Principal SEFAZ-BA</t>
  </si>
  <si>
    <t xml:space="preserve">Indústria de fabricação de biocombustíveis</t>
  </si>
  <si>
    <t xml:space="preserve">Programa de Incentivo Fiscal Provável</t>
  </si>
  <si>
    <t xml:space="preserve">DESENVOLVE-BA (Decreto 8.205/2002) E/OU PROIND. Em 2024-2025 a empresa pode optar pelo CRÉDITO PRESUMIDO 93% sobre débito ICMS biodiesel — Decreto BA 22.266/2023 (alterado pelo Dec 22.876/2024). Vedação: 10% do crédito presumido vai para FUNCEP.</t>
  </si>
  <si>
    <t xml:space="preserve">Recolhimento ICMS Biodiesel</t>
  </si>
  <si>
    <t xml:space="preserve">Tributação MONOFÁSICA ad rem (Conv. ICMS 199/2022) — alíquota fixa por litro. Em 2025: R$ 1,0635/litro; com crédito presumido 93% efetivo ~7%.</t>
  </si>
  <si>
    <t xml:space="preserve">Substituto Tributário</t>
  </si>
  <si>
    <t xml:space="preserve">Sim (combustíveis estão em ST consolidada por convênio)</t>
  </si>
  <si>
    <t xml:space="preserve">EFD ICMS/IPI</t>
  </si>
  <si>
    <t xml:space="preserve">Obrigada (Lucro Real)</t>
  </si>
  <si>
    <t xml:space="preserve">EFD-Contribuições</t>
  </si>
  <si>
    <t xml:space="preserve">Obrigada</t>
  </si>
  <si>
    <t xml:space="preserve">EFD-Reinf, e-Social</t>
  </si>
  <si>
    <t xml:space="preserve">Obrigadas</t>
  </si>
  <si>
    <t xml:space="preserve">REGISTROS REGULATÓRIOS ANP</t>
  </si>
  <si>
    <t xml:space="preserve">Registro</t>
  </si>
  <si>
    <t xml:space="preserve">Detalhe</t>
  </si>
  <si>
    <t xml:space="preserve">Autorização ANP — Produção</t>
  </si>
  <si>
    <t xml:space="preserve">Concedida e atualizada (ampliação 2020 elevou para 468 mil m³/ano; nova ampliação 2025 para ~600 mil m³/ano)</t>
  </si>
  <si>
    <t xml:space="preserve">Autorização ANP — Comercialização Leilão</t>
  </si>
  <si>
    <t xml:space="preserve">Sim — participa dos leilões públicos de biodiesel da ANP</t>
  </si>
  <si>
    <t xml:space="preserve">Selo Biocombustível Social (MDA)</t>
  </si>
  <si>
    <t xml:space="preserve">Concedido desde 2007 — exige aquisição mínima de matéria-prima da agricultura familiar Pronaf no Nordeste</t>
  </si>
  <si>
    <t xml:space="preserve">Registro Especial Receita Federal (Lei 11.116/2005)</t>
  </si>
  <si>
    <t xml:space="preserve">Obrigatório e ativo — habilita PIS/COFINS monofásico no biodiesel</t>
  </si>
  <si>
    <t xml:space="preserve">Autorização Exportação</t>
  </si>
  <si>
    <t xml:space="preserve">Sim — confirmada pelas remessas externas registradas (Panjiva)</t>
  </si>
  <si>
    <t xml:space="preserve">Certificação RenovaBio (CBio)</t>
  </si>
  <si>
    <t xml:space="preserve">ATIVA — em 2021 refez a certificação para incluir óleo de palma; potencial estimado de 556,4 mil CBios/ano</t>
  </si>
  <si>
    <t xml:space="preserve">Autorização ANP — uso de B100 em frota própria</t>
  </si>
  <si>
    <t xml:space="preserve">Concedida (DOU 02/dezembro) — emitida em nome da Oleoplan Nordeste/Iraquara</t>
  </si>
  <si>
    <t xml:space="preserve">ISO 9001 / ISCC / GMP+</t>
  </si>
  <si>
    <t xml:space="preserve">Possui certificações de boas práticas e sustentabilidade aplicáveis ao setor</t>
  </si>
  <si>
    <t xml:space="preserve">MAPA DE COMPRAS — INSUMOS, MATÉRIAS-PRIMAS E SERVIÇOS</t>
  </si>
  <si>
    <t xml:space="preserve">INSUMOS PRINCIPAIS — VOLUMES E ORIGEM ESTIMADOS (BASE 2024-2025)</t>
  </si>
  <si>
    <t xml:space="preserve">PREMISSAS DE CÁLCULO (linkadas dinamicamente)</t>
  </si>
  <si>
    <t xml:space="preserve">Vol. soja processada (t/ano)</t>
  </si>
  <si>
    <t xml:space="preserve">Fonte: RenovaCalc 2024 da Oleoplan Nordeste</t>
  </si>
  <si>
    <t xml:space="preserve">Capacidade biodiesel pós-expansão (m³/ano)</t>
  </si>
  <si>
    <t xml:space="preserve">1,65 mi L/dia × 365 ÷ 1000 (estimativa run-rate)</t>
  </si>
  <si>
    <t xml:space="preserve">Rendimento óleo de soja (kg/t soja)</t>
  </si>
  <si>
    <t xml:space="preserve">RenovaCalc 2024</t>
  </si>
  <si>
    <t xml:space="preserve">Rendimento farelo (kg/t soja)</t>
  </si>
  <si>
    <t xml:space="preserve">Consumo metanol (kg/m³ biodiesel)</t>
  </si>
  <si>
    <t xml:space="preserve">Estequiometria padrão: 100-110 kg/m³</t>
  </si>
  <si>
    <t xml:space="preserve">Preço médio metanol R$/t (2025)</t>
  </si>
  <si>
    <t xml:space="preserve">Mercado SE/SE; importação metanol US$520-580/t + frete</t>
  </si>
  <si>
    <t xml:space="preserve">Preço médio soja R$/t (Iraquara, 2025)</t>
  </si>
  <si>
    <t xml:space="preserve">BM&amp;FBOVESPA / Cepea média Oeste BA - leve prêmio Nordeste</t>
  </si>
  <si>
    <t xml:space="preserve">Preço médio sebo bovino R$/t (2025)</t>
  </si>
  <si>
    <t xml:space="preserve">ABISA / mercado SE — alta volatilidade</t>
  </si>
  <si>
    <t xml:space="preserve">QUADRO DE COMPRAS POR INSUMO</t>
  </si>
  <si>
    <t xml:space="preserve">Insumo / Item</t>
  </si>
  <si>
    <t xml:space="preserve">NCM (HS)</t>
  </si>
  <si>
    <t xml:space="preserve">Volume estim. (t/ano)</t>
  </si>
  <si>
    <t xml:space="preserve">Preço unit. R$/t</t>
  </si>
  <si>
    <t xml:space="preserve">Gasto anual estim. (R$)</t>
  </si>
  <si>
    <t xml:space="preserve">Origem dominante</t>
  </si>
  <si>
    <t xml:space="preserve">Logística (modal)</t>
  </si>
  <si>
    <t xml:space="preserve">Observações tributárias</t>
  </si>
  <si>
    <t xml:space="preserve">Soja em grão (matéria-prima principal)</t>
  </si>
  <si>
    <t xml:space="preserve">1201.90.00</t>
  </si>
  <si>
    <t xml:space="preserve">Oeste Baiano (LEM, Barreiras, Correntina, S. Desidério) + MATOPIBA (TO/PI/MA) + Centro-Oeste (Goiás)</t>
  </si>
  <si>
    <t xml:space="preserve">Rodoviário (carreta graneleira) — distância média 600-800 km</t>
  </si>
  <si>
    <t xml:space="preserve">Diferimento ICMS (saída agricultor pessoa física BA = ICMS diferido na entrada). PIS/COFINS = crédito presumido (Lei 12.865/2013, art. 31). IBS/CBS na transição: alíquota reduzida (cesta agro).</t>
  </si>
  <si>
    <t xml:space="preserve">Sebo bovino bruto (matéria-prima alternativa)</t>
  </si>
  <si>
    <t xml:space="preserve">1502.10.10</t>
  </si>
  <si>
    <t xml:space="preserve">Frigoríficos BA, TO, MG, GO (Marfrig, JBS, Minerva, Frigorífico do Vale)</t>
  </si>
  <si>
    <t xml:space="preserve">Rodoviário (caminhão isotérmico)</t>
  </si>
  <si>
    <t xml:space="preserve">ICMS diferido se cooperativa fornecedora; HS 1502 (gorduras animais).</t>
  </si>
  <si>
    <t xml:space="preserve">Óleo de soja degomado (HS 15.07)</t>
  </si>
  <si>
    <t xml:space="preserve">1507.10.00</t>
  </si>
  <si>
    <t xml:space="preserve">Compras pontuais para complementar quando o esmagamento próprio não cobre toda demanda do biodiesel</t>
  </si>
  <si>
    <t xml:space="preserve">Rodoviário (tanque) ou ferroviário</t>
  </si>
  <si>
    <t xml:space="preserve">ICMS interno BA com diferimento conforme convênio. Item-chave da cadeia.</t>
  </si>
  <si>
    <t xml:space="preserve">Metanol industrial (transesterificação)</t>
  </si>
  <si>
    <t xml:space="preserve">2905.11.00</t>
  </si>
  <si>
    <t xml:space="preserve">IMPORTADO (Trinidad &amp; Tobago, Catar, EUA, Chile) + Methanex/Brasil</t>
  </si>
  <si>
    <t xml:space="preserve">Marítimo (Suape, Aratu) + rodoviário até Iraquara — tanque IMO</t>
  </si>
  <si>
    <t xml:space="preserve">II 9,6% / IPI 0% / PIS-COFINS importação ~9,25% / ICMS-BA com diferimento se DESENVOLVE/PROIND. Insumo CRÍTICO — falta para 1 dia derruba a planta.</t>
  </si>
  <si>
    <t xml:space="preserve">Catalisador (NaOH ou metilato de sódio)</t>
  </si>
  <si>
    <t xml:space="preserve">2905.13.00 / 2815.12.00</t>
  </si>
  <si>
    <t xml:space="preserve">Solvay, Evonik, BASF — importado em parte</t>
  </si>
  <si>
    <t xml:space="preserve">Marítimo + rodoviário</t>
  </si>
  <si>
    <t xml:space="preserve">Insumo crítico para reação — alta volatilidade de preço</t>
  </si>
  <si>
    <t xml:space="preserve">Ácido fosfórico / cítrico (degomagem)</t>
  </si>
  <si>
    <t xml:space="preserve">2809.20.10</t>
  </si>
  <si>
    <t xml:space="preserve">Mosaic, Yara, Adisseo — nacional e importado</t>
  </si>
  <si>
    <t xml:space="preserve">Rodoviário</t>
  </si>
  <si>
    <t xml:space="preserve">Insumo de processo intermediário</t>
  </si>
  <si>
    <t xml:space="preserve">Energia elétrica (mix da rede)</t>
  </si>
  <si>
    <t xml:space="preserve">n/a (serviço)</t>
  </si>
  <si>
    <t xml:space="preserve">Coelba (concessionária BA) ou MercadoLivre via PPA</t>
  </si>
  <si>
    <t xml:space="preserve">Distribuição local</t>
  </si>
  <si>
    <t xml:space="preserve">ICMS energia BA: 25% (alíquota geral). PIS/COFINS não-cumulativo.</t>
  </si>
  <si>
    <t xml:space="preserve">Diesel B/B100 (frota e máquinas pátio)</t>
  </si>
  <si>
    <t xml:space="preserve">2710.19.21</t>
  </si>
  <si>
    <t xml:space="preserve">Vibra, Raízen, Ipiranga — eventualmente B100 próprio (autorização ANP DOU)</t>
  </si>
  <si>
    <t xml:space="preserve">Caminhão-tanque distribuidora</t>
  </si>
  <si>
    <t xml:space="preserve">ICMS monofásico ad rem (R$ 1,0635/L em 2025). PIS/COFINS = alíquota zero na revenda.</t>
  </si>
  <si>
    <t xml:space="preserve">Embalagens (IBC, tambores, big-bags)</t>
  </si>
  <si>
    <t xml:space="preserve">3923.30.00 / 3923.21.00</t>
  </si>
  <si>
    <t xml:space="preserve">Schütz, Mauser, Werit — SP/PR + importação eventual</t>
  </si>
  <si>
    <t xml:space="preserve">Insumo de embalagem industrial — ICMS interno</t>
  </si>
  <si>
    <t xml:space="preserve">Peças, manutenção e MRO</t>
  </si>
  <si>
    <t xml:space="preserve">diversos cap.84-85</t>
  </si>
  <si>
    <t xml:space="preserve">Multimarcas — Atlas Copco, SKF, Voith, Buhler, Andritz</t>
  </si>
  <si>
    <t xml:space="preserve">Rodoviário e aéreo (urgências)</t>
  </si>
  <si>
    <t xml:space="preserve">Estimado em ~3% do imobilizado anual (parque industrial intensivo em mecânica)</t>
  </si>
  <si>
    <t xml:space="preserve">Defensivos e fertilizantes (revenda p/ produtores)</t>
  </si>
  <si>
    <t xml:space="preserve">31.04 / 31.05</t>
  </si>
  <si>
    <t xml:space="preserve">Yara, Mosaic, Heringer — revendidos no esquema do Selo Biocombustível Social</t>
  </si>
  <si>
    <t xml:space="preserve">Operação de fomento — Oleoplan adianta insumos contra entrega futura de soja</t>
  </si>
  <si>
    <t xml:space="preserve">Outros químicos e auxiliares de processo</t>
  </si>
  <si>
    <t xml:space="preserve">diversos cap.28-38</t>
  </si>
  <si>
    <t xml:space="preserve">Diversos — Quimidrol, Bandeirante, importação direta</t>
  </si>
  <si>
    <t xml:space="preserve">Antiespumantes, branqueadores, terras filtrantes</t>
  </si>
  <si>
    <t xml:space="preserve">Frete RODOVIÁRIO de soja (terceiros)</t>
  </si>
  <si>
    <t xml:space="preserve">Transportadoras autônomas e cooperativas (Brat Cargas, RodoExpresso, RodoBran)</t>
  </si>
  <si>
    <t xml:space="preserve">Carreta 30-37 t</t>
  </si>
  <si>
    <t xml:space="preserve">ALVO COOPERATIVA: serviço de transporte intermunicipal — ISS/ICMS-frete. Em ato cooperado: IBS/CBS reduzido.</t>
  </si>
  <si>
    <t xml:space="preserve">Frete RODOVIÁRIO de biodiesel (saída)</t>
  </si>
  <si>
    <t xml:space="preserve">Transportadoras especializadas em químico/IMO</t>
  </si>
  <si>
    <t xml:space="preserve">Carreta-tanque inox</t>
  </si>
  <si>
    <t xml:space="preserve">Frete químico — exige ANTT-MOPP. ALVO cooperativo de tanqueiros.</t>
  </si>
  <si>
    <t xml:space="preserve">Serviços laboratoriais e certificação (RenovaBio, GMP+, ISCC)</t>
  </si>
  <si>
    <t xml:space="preserve">n/a</t>
  </si>
  <si>
    <t xml:space="preserve">Green Domus, SGS, Bureau Veritas, Eurofins</t>
  </si>
  <si>
    <t xml:space="preserve">PIS/COFINS na contratação</t>
  </si>
  <si>
    <t xml:space="preserve">TOTAL ESTIMADO COMPRAS ANUAIS</t>
  </si>
  <si>
    <t xml:space="preserve">VALIDAÇÃO POR EVIDÊNCIA COMEX (Panjiva — embarques internacionais)</t>
  </si>
  <si>
    <t xml:space="preserve">Capítulo HS</t>
  </si>
  <si>
    <t xml:space="preserve">Descrição</t>
  </si>
  <si>
    <t xml:space="preserve">Tipo de fluxo</t>
  </si>
  <si>
    <t xml:space="preserve">HS 12</t>
  </si>
  <si>
    <t xml:space="preserve">Sementes e frutos oleaginosos (soja, etc.)</t>
  </si>
  <si>
    <t xml:space="preserve">Importação/Exportação registrada</t>
  </si>
  <si>
    <t xml:space="preserve">HS 15</t>
  </si>
  <si>
    <t xml:space="preserve">Gorduras e óleos animais/vegetais (óleo soja, sebo, glicerina)</t>
  </si>
  <si>
    <t xml:space="preserve">HS 23</t>
  </si>
  <si>
    <t xml:space="preserve">Resíduos da indústria alimentícia (FARELO de soja)</t>
  </si>
  <si>
    <t xml:space="preserve">EXPORTAÇÃO — principal cap. de saída</t>
  </si>
  <si>
    <t xml:space="preserve">HS 29</t>
  </si>
  <si>
    <t xml:space="preserve">Químicos orgânicos (METANOL, catalisadores)</t>
  </si>
  <si>
    <t xml:space="preserve">IMPORTAÇÃO — insumo crítico</t>
  </si>
  <si>
    <t xml:space="preserve">MAPA DE VENDAS — PRODUTOS, RECEITAS E DESTINOS</t>
  </si>
  <si>
    <t xml:space="preserve">PRODUTOS COMERCIALIZADOS PELA UNIDADE IRAQUARA</t>
  </si>
  <si>
    <t xml:space="preserve">Produto</t>
  </si>
  <si>
    <t xml:space="preserve">NCM</t>
  </si>
  <si>
    <t xml:space="preserve">Volume estim. (un/ano)</t>
  </si>
  <si>
    <t xml:space="preserve">Preço médio (R$/un)</t>
  </si>
  <si>
    <t xml:space="preserve">Receita anual estim. (R$)</t>
  </si>
  <si>
    <t xml:space="preserve">Cliente / Canal</t>
  </si>
  <si>
    <t xml:space="preserve">Logística (saída)</t>
  </si>
  <si>
    <t xml:space="preserve">Tributação</t>
  </si>
  <si>
    <t xml:space="preserve">Biodiesel B100</t>
  </si>
  <si>
    <t xml:space="preserve">3826.00.00</t>
  </si>
  <si>
    <t xml:space="preserve">Distribuidoras de combustíveis nos leilões ANP (Vibra, Raízen, Ipiranga, Petrobras, Atem) + venda B100 direta</t>
  </si>
  <si>
    <t xml:space="preserve">Caminhão-tanque (BA/PE/CE/AL) — também ferroviário no transbordo</t>
  </si>
  <si>
    <t xml:space="preserve">ICMS monofásico ad rem (Conv. 199/2022) — R$1,0635/L em 2025; crédito presumido 93% via Decreto BA 22.266/2023. PIS/COFINS Lei 11.116/2005.</t>
  </si>
  <si>
    <t xml:space="preserve">Farelo de soja (proteína 46-48%)</t>
  </si>
  <si>
    <t xml:space="preserve">2304.00.10</t>
  </si>
  <si>
    <t xml:space="preserve">Avicultura BA/PE/CE/PI, pecuária, EXPORTAÇÃO via Aratu/Suape</t>
  </si>
  <si>
    <t xml:space="preserve">Carreta + ferroviário (transbordo Iraquara)</t>
  </si>
  <si>
    <t xml:space="preserve">ICMS interestadual 4% (Resol. SF 13/2012); PIS/COFINS suspenso na cadeia agro (LR Agro).</t>
  </si>
  <si>
    <t xml:space="preserve">Óleo de soja (uso cativo p/ biodiesel)</t>
  </si>
  <si>
    <t xml:space="preserve">Cativo</t>
  </si>
  <si>
    <t xml:space="preserve">Não vendido — 100% destinado à produção própria de biodiesel (Moody's 2025)</t>
  </si>
  <si>
    <t xml:space="preserve">Interno (tubulação)</t>
  </si>
  <si>
    <t xml:space="preserve">Sem destaque tributário (operação intra-CNPJ)</t>
  </si>
  <si>
    <t xml:space="preserve">Glicerina (loira/refinada)</t>
  </si>
  <si>
    <t xml:space="preserve">2905.45.00</t>
  </si>
  <si>
    <t xml:space="preserve">Cosmética, farmácia, ração, exportação</t>
  </si>
  <si>
    <t xml:space="preserve">IBC/tanque rodoviário</t>
  </si>
  <si>
    <t xml:space="preserve">ICMS interno + interestadual; PIS/COFINS não-cumulativos</t>
  </si>
  <si>
    <t xml:space="preserve">Casca de soja peletizada</t>
  </si>
  <si>
    <t xml:space="preserve">2304.00.20</t>
  </si>
  <si>
    <t xml:space="preserve">Pecuária (fibra substituta) e exportação</t>
  </si>
  <si>
    <t xml:space="preserve">Granel rodoviário</t>
  </si>
  <si>
    <t xml:space="preserve">ICMS reduzido em exportação</t>
  </si>
  <si>
    <t xml:space="preserve">Lecitina de soja</t>
  </si>
  <si>
    <t xml:space="preserve">2923.20.00</t>
  </si>
  <si>
    <t xml:space="preserve">Alimentícia e farmacêutica nacional e exportação</t>
  </si>
  <si>
    <t xml:space="preserve">Tambor/IBC</t>
  </si>
  <si>
    <t xml:space="preserve">Alto VA — ICMS regular</t>
  </si>
  <si>
    <t xml:space="preserve">CBios (Créditos de Descarbonização)</t>
  </si>
  <si>
    <t xml:space="preserve">ativo B3</t>
  </si>
  <si>
    <t xml:space="preserve">Distribuidoras com meta RenovaBio — leilão B3</t>
  </si>
  <si>
    <t xml:space="preserve">Eletrônico (B3)</t>
  </si>
  <si>
    <t xml:space="preserve">Não tem ICMS. PIS/COFINS aplicam</t>
  </si>
  <si>
    <t xml:space="preserve">TOTAL RECEITA BRUTA ESTIMADA — UNIDADE IRAQUARA</t>
  </si>
  <si>
    <t xml:space="preserve">BENCHMARKS — GRUPO OLEOPLAN CONSOLIDADO</t>
  </si>
  <si>
    <t xml:space="preserve">Indicador</t>
  </si>
  <si>
    <t xml:space="preserve">2022</t>
  </si>
  <si>
    <t xml:space="preserve">2023</t>
  </si>
  <si>
    <t xml:space="preserve">2024</t>
  </si>
  <si>
    <t xml:space="preserve">Variação 24 vs 23</t>
  </si>
  <si>
    <t xml:space="preserve">Receita Bruta (R$ bi)</t>
  </si>
  <si>
    <t xml:space="preserve">+20,5%</t>
  </si>
  <si>
    <t xml:space="preserve">Lucro Líquido (R$ mi)</t>
  </si>
  <si>
    <t xml:space="preserve">+163,7%</t>
  </si>
  <si>
    <t xml:space="preserve">Volume biodiesel vendido (mil m³)</t>
  </si>
  <si>
    <t xml:space="preserve">Margem EBITDA Ajustada</t>
  </si>
  <si>
    <t xml:space="preserve">7,3%</t>
  </si>
  <si>
    <t xml:space="preserve">17,0%</t>
  </si>
  <si>
    <t xml:space="preserve">+9,7 p.p.</t>
  </si>
  <si>
    <t xml:space="preserve">Dívida Bruta Ajustada (R$ bi)</t>
  </si>
  <si>
    <t xml:space="preserve">+7,7%</t>
  </si>
  <si>
    <t xml:space="preserve">Alavancagem Bruta (DB/EBITDA)</t>
  </si>
  <si>
    <t xml:space="preserve">3,3x</t>
  </si>
  <si>
    <t xml:space="preserve">1,3x</t>
  </si>
  <si>
    <t xml:space="preserve">↓</t>
  </si>
  <si>
    <t xml:space="preserve">Cobertura de Juros</t>
  </si>
  <si>
    <t xml:space="preserve">1,4x</t>
  </si>
  <si>
    <t xml:space="preserve">7,2x</t>
  </si>
  <si>
    <t xml:space="preserve">↑↑</t>
  </si>
  <si>
    <t xml:space="preserve">Rating Moody's Local Brasil</t>
  </si>
  <si>
    <t xml:space="preserve">AA-.br Estável</t>
  </si>
  <si>
    <t xml:space="preserve">ESTIMATIVA DE CARGA TRIBUTÁRIA POR IMPOSTO — 2025</t>
  </si>
  <si>
    <t xml:space="preserve">AVISO LEGAL</t>
  </si>
  <si>
    <t xml:space="preserve">ATENÇÃO: O valor EFETIVAMENTE pago de cada tributo pela Oleoplan Nordeste em 2025 é PROTEGIDO POR SIGILO FISCAL (art. 198 do CTN) — só consta em SPED, ECF, DCTFWeb e EFD-ICMS, acessíveis APENAS à Receita Federal e à SEFAZ-BA. As cifras abaixo são ENGENHARIA REVERSA a partir de: (i) volumes públicos divulgados pela empresa/ANP/Moody's; (ii) preços de mercado em 2025; (iii) alíquotas legais vigentes; (iv) benefícios fiscais aplicáveis. Use como ordem de grandeza para decisão estratégica, NUNCA como número auditado.</t>
  </si>
  <si>
    <t xml:space="preserve">PREMISSAS DE BASE (alocação Iraquara dentro do grupo)</t>
  </si>
  <si>
    <t xml:space="preserve">Unidade</t>
  </si>
  <si>
    <t xml:space="preserve">Fonte / Base</t>
  </si>
  <si>
    <t xml:space="preserve">Receita Líquida Grupo Oleoplan 2024</t>
  </si>
  <si>
    <t xml:space="preserve">R$/ano</t>
  </si>
  <si>
    <t xml:space="preserve">Demonstrações 2024 / BiodieselBR.com 2025</t>
  </si>
  <si>
    <t xml:space="preserve">Participação Iraquara na receita do grupo</t>
  </si>
  <si>
    <t xml:space="preserve">%</t>
  </si>
  <si>
    <t xml:space="preserve">Estimativa Moody's 2025: Iraquara é a maior das 5 plantas do grupo após expansão; estimamos 30%</t>
  </si>
  <si>
    <t xml:space="preserve">Receita Líquida estim. Iraquara 2024</t>
  </si>
  <si>
    <t xml:space="preserve">Receita grupo × Participação</t>
  </si>
  <si>
    <t xml:space="preserve">Receita Bruta estim. Iraquara 2025 (run-rate)</t>
  </si>
  <si>
    <t xml:space="preserve">Crescimento previsto B14→B15 + ampliação 27%</t>
  </si>
  <si>
    <t xml:space="preserve">Volume biodiesel Iraquara estimado 2025 (m³)</t>
  </si>
  <si>
    <t xml:space="preserve">m³/ano</t>
  </si>
  <si>
    <t xml:space="preserve">Run-rate pós-ampliação parcial — extrapolação</t>
  </si>
  <si>
    <t xml:space="preserve">Margem EBITDA aplicada</t>
  </si>
  <si>
    <t xml:space="preserve">Moody's 2025 — média do grupo</t>
  </si>
  <si>
    <t xml:space="preserve">EBITDA estimado Iraquara 2025</t>
  </si>
  <si>
    <t xml:space="preserve">Receita × Margem</t>
  </si>
  <si>
    <t xml:space="preserve">BREAKDOWN POR IMPOSTO — ESTIMATIVA 2025 (Receita estim. Iraquara ~R$ 2,33 bi)</t>
  </si>
  <si>
    <t xml:space="preserve">Tributo</t>
  </si>
  <si>
    <t xml:space="preserve">Esfera</t>
  </si>
  <si>
    <t xml:space="preserve">Base</t>
  </si>
  <si>
    <t xml:space="preserve">Alíq. Nominal</t>
  </si>
  <si>
    <t xml:space="preserve">Benef./Redução</t>
  </si>
  <si>
    <t xml:space="preserve">Alíq. Efetiva</t>
  </si>
  <si>
    <t xml:space="preserve">Lógica de cálculo</t>
  </si>
  <si>
    <t xml:space="preserve">Estimativa R$</t>
  </si>
  <si>
    <t xml:space="preserve">ICMS — Biodiesel (monofásico)</t>
  </si>
  <si>
    <t xml:space="preserve">Estadual BA</t>
  </si>
  <si>
    <t xml:space="preserve">Volume × ad rem</t>
  </si>
  <si>
    <t xml:space="preserve">R$ 1,0635/L</t>
  </si>
  <si>
    <t xml:space="preserve">Crédito Presumido 93% (Dec.BA 22.266/2023)</t>
  </si>
  <si>
    <t xml:space="preserve">~7,0% do bruto</t>
  </si>
  <si>
    <t xml:space="preserve">540 mi L × R$ 1,0635 × 7% (após crédito presumido)</t>
  </si>
  <si>
    <t xml:space="preserve">ICMS — Demais produtos</t>
  </si>
  <si>
    <t xml:space="preserve">Receita não-biodiesel</t>
  </si>
  <si>
    <t xml:space="preserve">12-25%</t>
  </si>
  <si>
    <t xml:space="preserve">Diferimento parcial / DESENVOLVE</t>
  </si>
  <si>
    <t xml:space="preserve">~4,0% efetiva</t>
  </si>
  <si>
    <t xml:space="preserve">Farelo (4% interestadual), glicerina, lecitina, CBios — alíquotas ponderadas</t>
  </si>
  <si>
    <t xml:space="preserve">PIS/COFINS — Biodiesel</t>
  </si>
  <si>
    <t xml:space="preserve">Federal</t>
  </si>
  <si>
    <t xml:space="preserve">m³ vendido</t>
  </si>
  <si>
    <t xml:space="preserve">R$ 148/m³ ad rem</t>
  </si>
  <si>
    <t xml:space="preserve">Selo Social (50% c/ alíq. R$ 0)</t>
  </si>
  <si>
    <t xml:space="preserve">~50% reduzido</t>
  </si>
  <si>
    <t xml:space="preserve">Lei 11.116/2005 + Dec. 10.527/2020. PIS + COFINS combinados</t>
  </si>
  <si>
    <t xml:space="preserve">PIS/COFINS — Demais produtos</t>
  </si>
  <si>
    <t xml:space="preserve">9,25% (1,65+7,6)</t>
  </si>
  <si>
    <t xml:space="preserve">Créditos não-cumulativos</t>
  </si>
  <si>
    <t xml:space="preserve">~5,5% líquida</t>
  </si>
  <si>
    <t xml:space="preserve">Não-cumulativo, com créditos sobre insumos e energia</t>
  </si>
  <si>
    <t xml:space="preserve">IRPJ</t>
  </si>
  <si>
    <t xml:space="preserve">Lucro Real ajustado</t>
  </si>
  <si>
    <t xml:space="preserve">15% + 10% adicional</t>
  </si>
  <si>
    <t xml:space="preserve">Subv. de incentivo (LC 160/2017) sobre DESENVOLVE</t>
  </si>
  <si>
    <t xml:space="preserve">~22% efetiva</t>
  </si>
  <si>
    <t xml:space="preserve">LL estim. R$ 218 mi × 15% + adicional 10% sobre o que excede R$ 240 mil</t>
  </si>
  <si>
    <t xml:space="preserve">CSLL</t>
  </si>
  <si>
    <t xml:space="preserve">9%</t>
  </si>
  <si>
    <t xml:space="preserve">Aplicada diretamente sobre LL</t>
  </si>
  <si>
    <t xml:space="preserve">INSS Patronal</t>
  </si>
  <si>
    <t xml:space="preserve">Folha (R$ ~30,6 mi)</t>
  </si>
  <si>
    <t xml:space="preserve">20%</t>
  </si>
  <si>
    <t xml:space="preserve">418 funcionários × R$ 5,5k × 13,33 meses-base</t>
  </si>
  <si>
    <t xml:space="preserve">RAT/SAT (ajustado FAP)</t>
  </si>
  <si>
    <t xml:space="preserve">Folha</t>
  </si>
  <si>
    <t xml:space="preserve">1-3%</t>
  </si>
  <si>
    <t xml:space="preserve">~3%</t>
  </si>
  <si>
    <t xml:space="preserve">Indústria química — risco médio</t>
  </si>
  <si>
    <t xml:space="preserve">Terceiros (Sistema S, INCRA, Salário-Educação)</t>
  </si>
  <si>
    <t xml:space="preserve">5,8%</t>
  </si>
  <si>
    <t xml:space="preserve">Recolhimento conjunto com INSS</t>
  </si>
  <si>
    <t xml:space="preserve">FGTS</t>
  </si>
  <si>
    <t xml:space="preserve">Federal (depósito)</t>
  </si>
  <si>
    <t xml:space="preserve">8%</t>
  </si>
  <si>
    <t xml:space="preserve">Não é tributo, mas obrigação parafiscal — depósito vinculado</t>
  </si>
  <si>
    <t xml:space="preserve">IPTU (Iraquara)</t>
  </si>
  <si>
    <t xml:space="preserve">Municipal</t>
  </si>
  <si>
    <t xml:space="preserve">Imóvel industrial</t>
  </si>
  <si>
    <t xml:space="preserve">Estimativa zona industrial — área ~50.000 m² c/ benfeitorias</t>
  </si>
  <si>
    <t xml:space="preserve">ISS retido (tomador)</t>
  </si>
  <si>
    <t xml:space="preserve">Serviços contratados</t>
  </si>
  <si>
    <t xml:space="preserve">2-5%</t>
  </si>
  <si>
    <t xml:space="preserve">Como tomador de serviços técnicos e logísticos</t>
  </si>
  <si>
    <t xml:space="preserve">IPI — Biodiesel</t>
  </si>
  <si>
    <t xml:space="preserve">Saída industrial</t>
  </si>
  <si>
    <t xml:space="preserve">0%</t>
  </si>
  <si>
    <t xml:space="preserve">Alíquota zero</t>
  </si>
  <si>
    <t xml:space="preserve">TIPI — biodiesel é alíquota zero</t>
  </si>
  <si>
    <t xml:space="preserve">CIDE-Combustíveis</t>
  </si>
  <si>
    <t xml:space="preserve">Combustível líquido</t>
  </si>
  <si>
    <t xml:space="preserve">Zerado p/ biodiesel desde LC 192/2022</t>
  </si>
  <si>
    <t xml:space="preserve">Não incide — LC 192/2022</t>
  </si>
  <si>
    <t xml:space="preserve">Taxa ANP (Regulação)</t>
  </si>
  <si>
    <t xml:space="preserve">Federal (regulatória)</t>
  </si>
  <si>
    <t xml:space="preserve">m³ produzido</t>
  </si>
  <si>
    <t xml:space="preserve">R$ ~1,50/m³</t>
  </si>
  <si>
    <t xml:space="preserve">Taxa anual de regulação — ANP</t>
  </si>
  <si>
    <t xml:space="preserve">FUNCEP-BA (vinculado ao crédito presumido)</t>
  </si>
  <si>
    <t xml:space="preserve">10% do crédito presumido</t>
  </si>
  <si>
    <t xml:space="preserve">10%</t>
  </si>
  <si>
    <t xml:space="preserve">Contrapartida obrigatória do crédito presumido 93% (Dec. 22.266/2023 art. 2º)</t>
  </si>
  <si>
    <t xml:space="preserve">Taxas IBAMA, INEMA, ANATEL etc.</t>
  </si>
  <si>
    <t xml:space="preserve">Federal/Estadual</t>
  </si>
  <si>
    <t xml:space="preserve">Diversas</t>
  </si>
  <si>
    <t xml:space="preserve">Licenças ambientais, taxas de fiscalização</t>
  </si>
  <si>
    <t xml:space="preserve">TOTAL CARGA TRIBUTÁRIA ESTIMADA 2025 — IRAQUARA</t>
  </si>
  <si>
    <t xml:space="preserve">Receita Bruta Iraquara 2025 estim.</t>
  </si>
  <si>
    <t xml:space="preserve">Carga Tributária Total / Receita Bruta</t>
  </si>
  <si>
    <t xml:space="preserve">INTERPRETAÇÃO ESTRATÉGICA</t>
  </si>
  <si>
    <t xml:space="preserve">Os 3 tributos com MAIOR PESO em uma indústria de biodiesel verticalizada são:
1. ICMS — quase neutralizado pelo crédito presumido 93% (Decreto BA 22.266/2023). Sem esse benefício, ICMS sozinho seria R$ 574 mi/ano.
2. PIS/COFINS — atenuado pelo Selo Biocombustível Social (alíquota zero p/ matéria-prima da agricultura familiar do Norte/Nordeste/Semiárido — Dec. 10.527/2020). Forte alavanca de planejamento.
3. IRPJ/CSLL — sujeitos a redução de 75% via SUDENE (Iraquara está em área de atuação) — pode ser que a Oleoplan já capture esse benefício.
Para a Brat Cargas/Brat Agro, dois ÂNGULOS DE OURO emergem:
(a) Originar soja DA AGRICULTURA FAMILIAR via cooperativa habilitada Pronaf gera direito ao Selo Social — Oleoplan paga preço-prêmio E zera PIS/COFINS na nota correspondente. Cooperativa captura margem.
(b) Frete de matéria-prima e produto acabado em ATO COOPERADO (LC 214/2025) — IBS/CBS reduzido na transição, e na maturação do novo regime, o ato cooperado mantém vantagens.</t>
  </si>
  <si>
    <t xml:space="preserve">COMÉRCIO EXTERIOR — IMPORTAÇÕES E EXPORTAÇÕES</t>
  </si>
  <si>
    <t xml:space="preserve">EVIDÊNCIAS DE FLUXO INTERNACIONAL — UNIDADE IRAQUARA (Panjiva — embarques registrados)</t>
  </si>
  <si>
    <t xml:space="preserve">HS</t>
  </si>
  <si>
    <t xml:space="preserve">Tipo</t>
  </si>
  <si>
    <t xml:space="preserve">Volume (estim.)</t>
  </si>
  <si>
    <t xml:space="preserve">Origem/Destino</t>
  </si>
  <si>
    <t xml:space="preserve">Modal</t>
  </si>
  <si>
    <t xml:space="preserve">Porto provável</t>
  </si>
  <si>
    <t xml:space="preserve">Observação</t>
  </si>
  <si>
    <t xml:space="preserve">1201</t>
  </si>
  <si>
    <t xml:space="preserve">Soja em grão</t>
  </si>
  <si>
    <t xml:space="preserve">IMPORTAÇÃO eventual / EXPORTAÇÃO</t>
  </si>
  <si>
    <t xml:space="preserve">Importação raríssima; exportação tipicamente p/ Ásia</t>
  </si>
  <si>
    <t xml:space="preserve">Marítimo</t>
  </si>
  <si>
    <t xml:space="preserve">Salvador / Aratu</t>
  </si>
  <si>
    <t xml:space="preserve">Iraquara é mais consumidora que exportadora de soja</t>
  </si>
  <si>
    <t xml:space="preserve">1502</t>
  </si>
  <si>
    <t xml:space="preserve">Sebo bovino</t>
  </si>
  <si>
    <t xml:space="preserve">IMPORTAÇÃO ocasional</t>
  </si>
  <si>
    <t xml:space="preserve">Argentina, Paraguai</t>
  </si>
  <si>
    <t xml:space="preserve">Aratu / Suape</t>
  </si>
  <si>
    <t xml:space="preserve">Quando o sebo nacional escasseia</t>
  </si>
  <si>
    <t xml:space="preserve">1507</t>
  </si>
  <si>
    <t xml:space="preserve">Óleo de soja</t>
  </si>
  <si>
    <t xml:space="preserve">EXPORTAÇÃO</t>
  </si>
  <si>
    <t xml:space="preserve">Índia, China, Egito, África Ocidental</t>
  </si>
  <si>
    <t xml:space="preserve">Salvador</t>
  </si>
  <si>
    <t xml:space="preserve">Apenas excedente — em Iraquara, óleo é cativo</t>
  </si>
  <si>
    <t xml:space="preserve">2304</t>
  </si>
  <si>
    <t xml:space="preserve">FARELO de soja</t>
  </si>
  <si>
    <t xml:space="preserve">EXPORTAÇÃO RECORRENTE</t>
  </si>
  <si>
    <t xml:space="preserve">Centenas de mil t/ano</t>
  </si>
  <si>
    <t xml:space="preserve">União Europeia, Coreia do Sul, Vietnã, Tailândia</t>
  </si>
  <si>
    <t xml:space="preserve">Marítimo (granel)</t>
  </si>
  <si>
    <t xml:space="preserve">Aratu (BA)</t>
  </si>
  <si>
    <t xml:space="preserve">Principal item de exportação da unidade</t>
  </si>
  <si>
    <t xml:space="preserve">2710</t>
  </si>
  <si>
    <t xml:space="preserve">Diesel (importação eventual)</t>
  </si>
  <si>
    <t xml:space="preserve">IMPORTAÇÃO</t>
  </si>
  <si>
    <t xml:space="preserve">EUA / Rússia</t>
  </si>
  <si>
    <t xml:space="preserve">Relacionado à Oleoplan via empresas distribuidoras</t>
  </si>
  <si>
    <t xml:space="preserve">2905.11</t>
  </si>
  <si>
    <t xml:space="preserve">METANOL</t>
  </si>
  <si>
    <t xml:space="preserve">IMPORTAÇÃO CRÍTICA</t>
  </si>
  <si>
    <t xml:space="preserve">~60-65 mil t/ano</t>
  </si>
  <si>
    <t xml:space="preserve">Trinidad &amp; Tobago, Catar, EUA, Chile, Venezuela</t>
  </si>
  <si>
    <t xml:space="preserve">Marítimo (Methanex/Methanol cargo)</t>
  </si>
  <si>
    <t xml:space="preserve">Suape (PE) ou Aratu (BA)</t>
  </si>
  <si>
    <t xml:space="preserve">Insumo SEM SUBSTITUTO. Consome divisas. ALTAMENTE estratégico.</t>
  </si>
  <si>
    <t xml:space="preserve">2905.45</t>
  </si>
  <si>
    <t xml:space="preserve">Glicerina</t>
  </si>
  <si>
    <t xml:space="preserve">20-50 mil t/ano</t>
  </si>
  <si>
    <t xml:space="preserve">China, Índia, EU</t>
  </si>
  <si>
    <t xml:space="preserve">Marítimo (IBC/tanque)</t>
  </si>
  <si>
    <t xml:space="preserve">Subproduto valorizado</t>
  </si>
  <si>
    <t xml:space="preserve">2815.12</t>
  </si>
  <si>
    <t xml:space="preserve">Hidróxido de sódio (catalisador)</t>
  </si>
  <si>
    <t xml:space="preserve">China, Coreia, EUA</t>
  </si>
  <si>
    <t xml:space="preserve">Aratu</t>
  </si>
  <si>
    <t xml:space="preserve">Pode ser comprado nacional (Unipar)</t>
  </si>
  <si>
    <t xml:space="preserve">2923.20</t>
  </si>
  <si>
    <t xml:space="preserve">1-2 mil t/ano</t>
  </si>
  <si>
    <t xml:space="preserve">EU, EUA</t>
  </si>
  <si>
    <t xml:space="preserve">Subproduto premium</t>
  </si>
  <si>
    <t xml:space="preserve">CONSULTA OFICIAL RECOMENDADA — COMEX STAT</t>
  </si>
  <si>
    <t xml:space="preserve">Para obter os DADOS OFICIAIS DE IMPORTAÇÃO/EXPORTAÇÃO da Oleoplan Nordeste por NCM, valor FOB e país, o sistema público é:
🔗 COMEX STAT — http://comexstat.mdic.gov.br/pt/comex-vis
Filtros: Empresas → Buscar por CNPJ '13463913000358' ou Razão Social 'Oleoplan Nordeste' → Período 2025 → NCM (capítulos 12, 15, 23, 29) → Exportar CSV/XLS
Outras fontes oficiais:
• Portal Único Siscomex: https://portalunicosiscomex.gov.br
• Receita Federal (DI/DUE) — só com acesso da empresa
• Bahiainvest — http://www.bahiainvest.com.br (panorama industrial BA)
Fontes privadas pagas: Panjiva (já confirmou capítulos 12/15/23/29), Datamyne, ImportGenius.</t>
  </si>
  <si>
    <t xml:space="preserve">PROPOSTA DE VALOR — BRAT CARGAS / BRAT AGRO PARA OLEOPLAN</t>
  </si>
  <si>
    <t xml:space="preserve">MATRIZ DE OPORTUNIDADES — TOP 10 ALAVANCAS COOPERATIVAS</t>
  </si>
  <si>
    <t xml:space="preserve">#</t>
  </si>
  <si>
    <t xml:space="preserve">Oportunidade</t>
  </si>
  <si>
    <t xml:space="preserve">Descrição operacional</t>
  </si>
  <si>
    <t xml:space="preserve">Vol. estim.</t>
  </si>
  <si>
    <t xml:space="preserve">Receita estim. p/ cooperativa (R$/ano)</t>
  </si>
  <si>
    <t xml:space="preserve">Margem est.</t>
  </si>
  <si>
    <t xml:space="preserve">Prioridade</t>
  </si>
  <si>
    <t xml:space="preserve">Mecanismo tributário</t>
  </si>
  <si>
    <t xml:space="preserve">Frete inbound de SOJA (Oeste BA → Iraquara)</t>
  </si>
  <si>
    <t xml:space="preserve">Originação cooperada em LEM, Barreiras, S. Desidério, Correntina; carreta graneleira; 600-800 km; 658 mil t/ano</t>
  </si>
  <si>
    <t xml:space="preserve">658.414 t</t>
  </si>
  <si>
    <t xml:space="preserve">8-12%</t>
  </si>
  <si>
    <t xml:space="preserve">🔥 ALTA</t>
  </si>
  <si>
    <t xml:space="preserve">Ato cooperado — IBS/CBS reduzido na transição (LC 214/2025); ISS isento entre cooperativa e cooperado</t>
  </si>
  <si>
    <t xml:space="preserve">Frete outbound de FARELO (Iraquara → portos/avicultura)</t>
  </si>
  <si>
    <t xml:space="preserve">Carreta graneleira para Aratu, Suape, granjas BA/PE/CE; ~507 mil t/ano</t>
  </si>
  <si>
    <t xml:space="preserve">507.000 t</t>
  </si>
  <si>
    <t xml:space="preserve">10-14%</t>
  </si>
  <si>
    <t xml:space="preserve">Ato cooperado — mesma vantagem</t>
  </si>
  <si>
    <t xml:space="preserve">Frete químico de BIODIESEL (Iraquara → distribuidoras)</t>
  </si>
  <si>
    <t xml:space="preserve">Carreta-tanque inox; rota Salvador, Recife, Fortaleza; ~540 mil m³/ano</t>
  </si>
  <si>
    <t xml:space="preserve">540.000 m³</t>
  </si>
  <si>
    <t xml:space="preserve">12-18%</t>
  </si>
  <si>
    <t xml:space="preserve">Frete ao SETOR REGULADO ANP (PIS/COFINS combustíveis com regime próprio)</t>
  </si>
  <si>
    <t xml:space="preserve">Originação cooperada de SOJA — Selo Biocombustível Social</t>
  </si>
  <si>
    <t xml:space="preserve">Cooperativa habilitada Pronaf entrega soja com declaração — Oleoplan paga preço-prêmio E zera PIS/COFINS na nota</t>
  </si>
  <si>
    <t xml:space="preserve">100-150 mil t/ano</t>
  </si>
  <si>
    <t xml:space="preserve">3-5% (margem comercial)</t>
  </si>
  <si>
    <t xml:space="preserve">Decreto 10.527/2020 — alíquota R$ 0,00 PIS/COFINS sobre matéria-prima de Pronaf-NE/Semiárido</t>
  </si>
  <si>
    <t xml:space="preserve">Compra centralizada de METANOL (importação cooperativa)</t>
  </si>
  <si>
    <t xml:space="preserve">Cooperativa importa metanol direto da Methanex/Trinidad — drawback + ICMS diferido + economia de 8-12% no FOB pelo volume</t>
  </si>
  <si>
    <t xml:space="preserve">60-65 mil t/ano</t>
  </si>
  <si>
    <t xml:space="preserve">Economia direta p/ Oleoplan</t>
  </si>
  <si>
    <t xml:space="preserve">🟡 MÉDIA</t>
  </si>
  <si>
    <t xml:space="preserve">Drawback (II/IPI/PIS/COFINS); DESENVOLVE-BA (diferimento ICMS na importação)</t>
  </si>
  <si>
    <t xml:space="preserve">Compra coletiva de FERTILIZANTES e DEFENSIVOS (revenda p/ produtores familiares)</t>
  </si>
  <si>
    <t xml:space="preserve">Brat Agro consolida demanda dos cooperados Pronaf, importa ureia/MAP/herbicidas em escala, repassa com margem ínfima</t>
  </si>
  <si>
    <t xml:space="preserve">20-30 mil t/ano</t>
  </si>
  <si>
    <t xml:space="preserve">Margem operacional</t>
  </si>
  <si>
    <t xml:space="preserve">Ato cooperado em insumos — IBS/CBS reduzido; PIS/COFINS s/ insumos agro = 0% (Lei 10.925/2004)</t>
  </si>
  <si>
    <t xml:space="preserve">Coleta cooperada de SEBO BOVINO (frigoríficos BA/TO)</t>
  </si>
  <si>
    <t xml:space="preserve">Brat Cargas faz coleta refrigerada em frigoríficos pequenos e médios; consolida em hub e entrega contínua na Oleoplan</t>
  </si>
  <si>
    <t xml:space="preserve">15-25 mil t/ano</t>
  </si>
  <si>
    <t xml:space="preserve">Ato cooperado de transporte</t>
  </si>
  <si>
    <t xml:space="preserve">Compra de B100 da Oleoplan p/ frota cooperada (autoconsumo)</t>
  </si>
  <si>
    <t xml:space="preserve">Oleoplan tem autorização ANP p/ B100 puro. Brat Cargas, como cooperativa, compra direto da fábrica para abastecer frota associada</t>
  </si>
  <si>
    <t xml:space="preserve">8-12 mi L/ano</t>
  </si>
  <si>
    <t xml:space="preserve">Economia 8-15%</t>
  </si>
  <si>
    <t xml:space="preserve">🟢 ESTRATÉGICA</t>
  </si>
  <si>
    <t xml:space="preserve">Compra direto-fábrica elimina margem distribuidora; PIS/COFINS já recolhido na origem (monofásico)</t>
  </si>
  <si>
    <t xml:space="preserve">Armazenagem-pulmão e backhaul integrado</t>
  </si>
  <si>
    <t xml:space="preserve">Cooperativa monta armazém-trampolim no Oeste BA + Iraquara, oferece backhaul (ida soja, volta defensivo/farelo)</t>
  </si>
  <si>
    <t xml:space="preserve">Eficiência logística</t>
  </si>
  <si>
    <t xml:space="preserve">Ato cooperado em armazenagem; ISS na operação</t>
  </si>
  <si>
    <t xml:space="preserve">Drone agro (Brat Aero/AgroPulse) p/ assistência técnica AGRICULTURA FAMILIAR</t>
  </si>
  <si>
    <t xml:space="preserve">Pulverização de precisão e mapeamento NDVI nos cooperados Pronaf que fornecem soja para Oleoplan — fortalece o Selo Social</t>
  </si>
  <si>
    <t xml:space="preserve">Margem serviço</t>
  </si>
  <si>
    <t xml:space="preserve">Serviço técnico agropecuário — ISS reduzido; possível enquadramento Lei do Bem (P,D&amp;I)</t>
  </si>
  <si>
    <t xml:space="preserve">TOTAL POTENCIAL DE RECEITA / VALOR PARA AS COOPERATIVAS BRAT</t>
  </si>
  <si>
    <t xml:space="preserve">ROADMAP DE ABORDAGEM — 90 DIAS</t>
  </si>
  <si>
    <t xml:space="preserve">Fase</t>
  </si>
  <si>
    <t xml:space="preserve">Ação</t>
  </si>
  <si>
    <t xml:space="preserve">Responsável</t>
  </si>
  <si>
    <t xml:space="preserve">Prazo</t>
  </si>
  <si>
    <t xml:space="preserve">Entrega</t>
  </si>
  <si>
    <t xml:space="preserve">Status</t>
  </si>
  <si>
    <t xml:space="preserve">F1 — Inteligência (15 dias)</t>
  </si>
  <si>
    <t xml:space="preserve">Coletar SINTEGRA-BA, ECF/SPED públicos via Junta Comercial, ANP open data, COMEX STAT</t>
  </si>
  <si>
    <t xml:space="preserve">Time data Brat</t>
  </si>
  <si>
    <t xml:space="preserve">15 dias</t>
  </si>
  <si>
    <t xml:space="preserve">Dossiê v2 com números oficiais</t>
  </si>
  <si>
    <t xml:space="preserve">Mapear contatos: Diretor Industrial Iraquara, Comprador Sênior, Gerente Logístico, Gerente Selo Social</t>
  </si>
  <si>
    <t xml:space="preserve">Comercial Brat</t>
  </si>
  <si>
    <t xml:space="preserve">CRM com 8-12 contatos qualificados</t>
  </si>
  <si>
    <t xml:space="preserve">F2 — Aproximação (30 dias)</t>
  </si>
  <si>
    <t xml:space="preserve">Reunião institucional via AIBA (já visitou Oleoplan em jul/2025) ou direto via Marcos Boff</t>
  </si>
  <si>
    <t xml:space="preserve">Roberto + Diretoria</t>
  </si>
  <si>
    <t xml:space="preserve">30 dias</t>
  </si>
  <si>
    <t xml:space="preserve">Reunião agendada com diretoria</t>
  </si>
  <si>
    <t xml:space="preserve">Apresentação proposta cooperativa de FRETE INBOUND piloto (1 rota Oeste-BA→Iraquara)</t>
  </si>
  <si>
    <t xml:space="preserve">Comercial</t>
  </si>
  <si>
    <t xml:space="preserve">Proposta comercial assinada</t>
  </si>
  <si>
    <t xml:space="preserve">F3 — Piloto (60 dias)</t>
  </si>
  <si>
    <t xml:space="preserve">Operação piloto 30 carretas/mês de soja em rota cooperada — comparação custo vs. terceirizado padrão</t>
  </si>
  <si>
    <t xml:space="preserve">Operações</t>
  </si>
  <si>
    <t xml:space="preserve">60 dias</t>
  </si>
  <si>
    <t xml:space="preserve">Relatório de performance</t>
  </si>
  <si>
    <t xml:space="preserve">Habilitação cooperativa Pronaf no SIB-MDA p/ originação Selo Social</t>
  </si>
  <si>
    <t xml:space="preserve">Jurídico/Compliance</t>
  </si>
  <si>
    <t xml:space="preserve">CAF/DAP e habilitação MDA</t>
  </si>
  <si>
    <t xml:space="preserve">F4 — Escala (90 dias)</t>
  </si>
  <si>
    <t xml:space="preserve">Contrato-quadro de 24 meses cobrindo 30% da movimentação de soja inbound</t>
  </si>
  <si>
    <t xml:space="preserve">Diretoria + Jurídico</t>
  </si>
  <si>
    <t xml:space="preserve">90 dias</t>
  </si>
  <si>
    <t xml:space="preserve">Contrato assinado</t>
  </si>
  <si>
    <t xml:space="preserve">Plano de expansão para farelo outbound + originação Selo Social + B100 para frota Brat</t>
  </si>
  <si>
    <t xml:space="preserve">Comercial + Operações</t>
  </si>
  <si>
    <t xml:space="preserve">Plano executivo aprovado</t>
  </si>
  <si>
    <t xml:space="preserve">FONTES, REFERÊNCIAS E BASE LEGAL</t>
  </si>
  <si>
    <t xml:space="preserve">FONTES PRIMÁRIAS — DADOS DA EMPRESA</t>
  </si>
  <si>
    <t xml:space="preserve">Fonte</t>
  </si>
  <si>
    <t xml:space="preserve">URL / Referência</t>
  </si>
  <si>
    <t xml:space="preserve">Cartão CNPJ Receita Federal</t>
  </si>
  <si>
    <t xml:space="preserve">Consulta direta CNPJ 13.463.913/0003-58 — https://servicos.receita.fazenda.gov.br/Servicos/cnpjreva/cnpjreva_solicitacao.asp</t>
  </si>
  <si>
    <t xml:space="preserve">Casa dos Dados — CNPJ 13.463.913/0003-58</t>
  </si>
  <si>
    <t xml:space="preserve">https://casadosdados.com.br/solucao/cnpj/oleoplan-nordeste-industria-de-biocombustivel-ltda-13463913000358</t>
  </si>
  <si>
    <t xml:space="preserve">CNPJ Check — ficha cadastral</t>
  </si>
  <si>
    <t xml:space="preserve">https://cnpjcheck.com.br/empresa/pdf/13463913000358</t>
  </si>
  <si>
    <t xml:space="preserve">Econodata — perfil Oleoplan Nordeste</t>
  </si>
  <si>
    <t xml:space="preserve">https://www.econodata.com.br/consulta-empresa/13463913000358</t>
  </si>
  <si>
    <t xml:space="preserve">Site institucional Oleoplan</t>
  </si>
  <si>
    <t xml:space="preserve">https://www.oleoplan.com.br/</t>
  </si>
  <si>
    <t xml:space="preserve">LinkedIn Grupo Oleoplan</t>
  </si>
  <si>
    <t xml:space="preserve">https://br.linkedin.com/company/grupooleoplan</t>
  </si>
  <si>
    <t xml:space="preserve">Panjiva (importação/exportação)</t>
  </si>
  <si>
    <t xml:space="preserve">https://panjiva.com/Oleoplan-Nordeste-Industria-De-Biocombustivel-Ltda/39202653</t>
  </si>
  <si>
    <t xml:space="preserve">FIEB — perfil empresa</t>
  </si>
  <si>
    <t xml:space="preserve">https://www.fieb.org.br/empresas/oleoplan-nordeste-industria-de-biocombustivel-ltda/</t>
  </si>
  <si>
    <t xml:space="preserve">FONTES DE FATURAMENTO E CRÉDITO</t>
  </si>
  <si>
    <t xml:space="preserve">Moody's Local Brasil — Relatório Crédito Oleoplan abr/2025</t>
  </si>
  <si>
    <t xml:space="preserve">https://moodyslocal.com.br/wp-content/uploads/2025/04/Relatorio-de-Credito-Oleoplan.pdf</t>
  </si>
  <si>
    <t xml:space="preserve">Moody's Local Brasil — Relatório Crédito Oleoplan fev/2025</t>
  </si>
  <si>
    <t xml:space="preserve">https://moodyslocal.com.br/wp-content/uploads/2025/02/Relatorio-de-Credito-da-Moodys-Local-Brasil-Oleoplan-1.pdf</t>
  </si>
  <si>
    <t xml:space="preserve">Moody's — Comentário Setorial Biodiesel mar/2025</t>
  </si>
  <si>
    <t xml:space="preserve">https://moodyslocal.com.br/wp-content/uploads/2025/03/Comentario-Setorial-Biodiesel-1.pdf</t>
  </si>
  <si>
    <t xml:space="preserve">BiodieselBR — Lucro Oleoplan 2024 (R$ 828 mi)</t>
  </si>
  <si>
    <t xml:space="preserve">https://www.biodieselbr.com/noticias/usinas/info/oleoplan-lucrou-r-828-milhoes-em-2024-210525</t>
  </si>
  <si>
    <t xml:space="preserve">BiodieselBR — Lucro 2023 (R$ 314 mi)</t>
  </si>
  <si>
    <t xml:space="preserve">https://www.biodieselbr.com/noticias/usinas/info/lucro-da-oleoplan-cresce-2-9-em-2023-070624</t>
  </si>
  <si>
    <t xml:space="preserve">AgFeed — Plano de R$ 800 mi Oleoplan jan/2026</t>
  </si>
  <si>
    <t xml:space="preserve">https://agfeed.com.br/negocios/gaucha-oleoplan-lanca-plano-de-r-800-milhoes-para-aumentar-capacidade-e-chegar-no-ms/</t>
  </si>
  <si>
    <t xml:space="preserve">Status Invest — Prospecto IPO Oleoplan</t>
  </si>
  <si>
    <t xml:space="preserve">https://statusinvest.com.br/ipo/acoes/oleoplan</t>
  </si>
  <si>
    <t xml:space="preserve">FONTES OPERACIONAIS — IRAQUARA</t>
  </si>
  <si>
    <t xml:space="preserve">Jornal Grande Bahia — Ampliação Iraquara jul/2025</t>
  </si>
  <si>
    <t xml:space="preserve">https://jornalgrandebahia.com.br/2025/07/oleoplan-anuncia-expansao-da-producao-de-biodiesel-na-bahia-e-reforca-parceria-com-agricultura-familiar/</t>
  </si>
  <si>
    <t xml:space="preserve">A Tarde — Oleoplan amplia 27% produção</t>
  </si>
  <si>
    <t xml:space="preserve">https://atarde.com.br/bahia/oleoplan-anuncia-ampliacao-de-27-da-producao-na-bahia-1345438</t>
  </si>
  <si>
    <t xml:space="preserve">Bahia Econômica — Anúncio expansão jul/2025</t>
  </si>
  <si>
    <t xml:space="preserve">https://bahiaeconomica.com.br/wp/2025/07/29/oleoplan-anuncia-ampliacao-da-producao-na-bahia-em-evento-sobre-biodiesel/</t>
  </si>
  <si>
    <t xml:space="preserve">AIBA — Visita à unidade Iraquara jul/2025</t>
  </si>
  <si>
    <t xml:space="preserve">https://aiba.org.br/aiba-visita-unidade-industrial-da-oleoplan-em-iraquara-na-bahia/</t>
  </si>
  <si>
    <t xml:space="preserve">BiodieselBR — Ficha usina Oleoplan BA</t>
  </si>
  <si>
    <t xml:space="preserve">https://www.biodieselbr.com/usinas_brasil/fabrica/oleoplan</t>
  </si>
  <si>
    <t xml:space="preserve">BiodieselBR — Certificação RenovaBio Iraquara</t>
  </si>
  <si>
    <t xml:space="preserve">https://www.biodieselbr.com/noticias/regulacao/rbio/oleoplan-esta-refazendo-certificacao-de-iraquara-no-renovabio-180221</t>
  </si>
  <si>
    <t xml:space="preserve">BiodieselBR — Autorização B100 Oleoplan</t>
  </si>
  <si>
    <t xml:space="preserve">https://www.biodieselbr.com/noticias/usinas/info/oleoplan-tera-projeto-para-uso-de-biodiesel-puro</t>
  </si>
  <si>
    <t xml:space="preserve">RenovaCalc Oleoplan NE 3101 (PDF Accenture)</t>
  </si>
  <si>
    <t xml:space="preserve">https://www.accenture.com/content/dam/accenture/final/accenture-com/document-3/RenovaCalc-Oleoplan-NE-3101.pdf</t>
  </si>
  <si>
    <t xml:space="preserve">BASE LEGAL — TRIBUTAÇÃO E INCENTIVOS</t>
  </si>
  <si>
    <t xml:space="preserve">Norma / Base Legal</t>
  </si>
  <si>
    <t xml:space="preserve">Aplicação</t>
  </si>
  <si>
    <t xml:space="preserve">LC 192/2022 (Federal)</t>
  </si>
  <si>
    <t xml:space="preserve">Tributação MONOFÁSICA do ICMS sobre combustíveis (gasolina, diesel, biodiesel, GLP)</t>
  </si>
  <si>
    <t xml:space="preserve">Convênio ICMS 199/2022 (CONFAZ)</t>
  </si>
  <si>
    <t xml:space="preserve">Operacionaliza monofásico e fixa alíquotas ad rem de ICMS — biodiesel B100</t>
  </si>
  <si>
    <t xml:space="preserve">Convênios 126/2024 e 127/2024 (CONFAZ)</t>
  </si>
  <si>
    <t xml:space="preserve">Reajustes vigentes desde 01/02/2025 — biodiesel a R$ 1,0635/L de ICMS</t>
  </si>
  <si>
    <t xml:space="preserve">Decreto BA 22.266 de 05/09/2023 (alterado pelo Dec. 22.876/2024)</t>
  </si>
  <si>
    <t xml:space="preserve">CRÉDITO PRESUMIDO 93% sobre débito ICMS biodiesel para beneficiários DESENVOLVE/PROIND-BA — Oleoplan elegível. Contrapartida: 10% para FUNCEP.</t>
  </si>
  <si>
    <t xml:space="preserve">Decreto BA 8.205/2002 (Regulamento DESENVOLVE)</t>
  </si>
  <si>
    <t xml:space="preserve">Programa de Desenvolvimento Industrial e de Integração Econômica do Estado da Bahia — desoneração ICMS sobre ativo, dilação 72 meses, etc.</t>
  </si>
  <si>
    <t xml:space="preserve">Lei 11.116/2005 (Federal)</t>
  </si>
  <si>
    <t xml:space="preserve">Regime tributário de PIS/COFINS sobre biodiesel — opção ad valorem (6,15% + 28,32%) ou ad rem (R$/m³)</t>
  </si>
  <si>
    <t xml:space="preserve">Decreto Federal 10.527/2020</t>
  </si>
  <si>
    <t xml:space="preserve">Selo Biocombustível Social — alíquota R$ 0,00 PIS/COFINS sobre matéria-prima do Pronaf Norte/Nordeste/Semiárido</t>
  </si>
  <si>
    <t xml:space="preserve">Lei 13.576/2017 (RenovaBio)</t>
  </si>
  <si>
    <t xml:space="preserve">Política Nacional de Biocombustíveis — emissão de CBios (lastro em redução de CO₂eq)</t>
  </si>
  <si>
    <t xml:space="preserve">LC 214/2025 (Reforma Tributária — IBS/CBS)</t>
  </si>
  <si>
    <t xml:space="preserve">Regime monofásico unificado IBS+CBS sobre combustíveis (ad rem); cesta agro reduzida; ato cooperado tem regimes específicos.</t>
  </si>
  <si>
    <t xml:space="preserve">Lei 9.718/1998 + LC 214/2025</t>
  </si>
  <si>
    <t xml:space="preserve">Regime PIS/COFINS combustíveis (alíquota zero na revenda — monofásico no produtor/importador)</t>
  </si>
  <si>
    <t xml:space="preserve">Decreto-Lei 70.235/1972</t>
  </si>
  <si>
    <t xml:space="preserve">Processo Administrativo Fiscal Federal</t>
  </si>
  <si>
    <t xml:space="preserve">Lei 5.764/1971 + LC 214/2025 art. xx</t>
  </si>
  <si>
    <t xml:space="preserve">Lei das Cooperativas — disciplina o ato cooperado e tratamento fiscal</t>
  </si>
  <si>
    <t xml:space="preserve">CTN art. 198</t>
  </si>
  <si>
    <t xml:space="preserve">Sigilo fiscal — protege os dados de tributos efetivamente pagos por contribuinte específico</t>
  </si>
  <si>
    <t xml:space="preserve">PORTAIS PÚBLICOS PARA APROFUNDAR</t>
  </si>
  <si>
    <t xml:space="preserve">Portal</t>
  </si>
  <si>
    <t xml:space="preserve">URL</t>
  </si>
  <si>
    <t xml:space="preserve">SINTEGRA-BA</t>
  </si>
  <si>
    <t xml:space="preserve">http://sistemas.sefaz.ba.gov.br/sintegra</t>
  </si>
  <si>
    <t xml:space="preserve">Receita Federal — Consulta CNPJ</t>
  </si>
  <si>
    <t xml:space="preserve">https://servicos.receita.fazenda.gov.br/Servicos/cnpjreva/cnpjreva_solicitacao.asp</t>
  </si>
  <si>
    <t xml:space="preserve">Comex Stat (MDIC)</t>
  </si>
  <si>
    <t xml:space="preserve">http://comexstat.mdic.gov.br/pt/comex-vis</t>
  </si>
  <si>
    <t xml:space="preserve">Portal da Transparência BA — Incentivos Fiscais</t>
  </si>
  <si>
    <t xml:space="preserve">http://www.transparencia.ba.gov.br/IncentivosFiscais/</t>
  </si>
  <si>
    <t xml:space="preserve">ANP — Dados de Biodiesel</t>
  </si>
  <si>
    <t xml:space="preserve">https://www.gov.br/anp/pt-br/centrais-de-conteudo/dados-abertos</t>
  </si>
  <si>
    <t xml:space="preserve">Portal de Compras Públicas (TCE-BA)</t>
  </si>
  <si>
    <t xml:space="preserve">https://www.tce.ba.gov.br/</t>
  </si>
  <si>
    <t xml:space="preserve">JUCEB — Junta Comercial da Bahia</t>
  </si>
  <si>
    <t xml:space="preserve">https://juceb.ba.gov.br/</t>
  </si>
  <si>
    <t xml:space="preserve">CGSN — Reforma Tributária Regulamentos</t>
  </si>
  <si>
    <t xml:space="preserve">https://www.gov.br/receitafederal/pt-br/reforma-tributaria</t>
  </si>
  <si>
    <t xml:space="preserve">Portal Único Siscomex</t>
  </si>
  <si>
    <t xml:space="preserve">https://portalunicosiscomex.gov.br</t>
  </si>
  <si>
    <t xml:space="preserve">CVM — Cadastro Oleoplan S.A.</t>
  </si>
  <si>
    <t xml:space="preserve">https://www.gov.br/cvm/pt-br</t>
  </si>
  <si>
    <t xml:space="preserve">PITCH COOPERATIVO BRAT × OLEOPLAN — MVP DIMENSIONADO POR OPORTUNIDADE</t>
  </si>
  <si>
    <t xml:space="preserve">RESUMO EXECUTIVO DO PITCH</t>
  </si>
  <si>
    <t xml:space="preserve">PROPOSTA: Brat Cargas (cooperativa de transporte) e Brat Agro (cooperativa de originação agro/florestal/animal) se cadastram como FORNECEDORES da Oleoplan Nordeste/Iraquara em 10 frentes piloto (MVPs) durante 90-180 dias, com volumes pequenos e mensuráveis. Cada MVP traz GANHOS QUANTIFICADOS para os três lados: (1) Oleoplan reduz custo unitário ou tributos, (2) Brat captura receita/margem cooperativa, (3) Cooperados (produtores familiares, motoristas autônomos, frigoríficos) ganham acesso direto a um cliente AAA. O efeito tributário se ancora no ATO COOPERADO entre cooperativa e associados (Lei 5.764/71 art. 79), transferindo para a Oleoplan a economia gerada pela exclusão de PIS/COFINS sobre valor repassado (MP 2158-35/2001 art. 15) e a não-tributação de IRPJ/CSLL no resultado cooperativo (Lei 5.764/71 art. 87 e 111). Após validação dos MVPs, escala via contrato-quadro de 24 meses. Veja base legal detalhada na aba 12.</t>
  </si>
  <si>
    <t xml:space="preserve">MATRIZ DE 10 MVPs — DIMENSIONAMENTO COMPLETO (1º ano de operação)</t>
  </si>
  <si>
    <t xml:space="preserve">Volume MVP (90-180 dias)</t>
  </si>
  <si>
    <t xml:space="preserve">Receita anual MVP (R$)</t>
  </si>
  <si>
    <t xml:space="preserve">Ganho Oleoplan (R$/ano)</t>
  </si>
  <si>
    <t xml:space="preserve">Ganho Brat (R$/ano)</t>
  </si>
  <si>
    <t xml:space="preserve">Ganho Cooperados (R$/ano)</t>
  </si>
  <si>
    <t xml:space="preserve">Investim. Brat (R$)</t>
  </si>
  <si>
    <t xml:space="preserve">Payback (meses)</t>
  </si>
  <si>
    <t xml:space="preserve">Objetivo / KPI</t>
  </si>
  <si>
    <t xml:space="preserve">1 rota piloto: 30 carretas/mês × 6 meses = 180 cargas; ~5.400 t totais</t>
  </si>
  <si>
    <t xml:space="preserve">Reduzir custo R$/t-km vs frete spot em 4-6%; KPI: &lt;0,32 R$/t-km vs ~0,34 do mercado</t>
  </si>
  <si>
    <t xml:space="preserve">Frete outbound FARELO (Iraquara → Aratu/Suape e granjas NE)</t>
  </si>
  <si>
    <t xml:space="preserve">1 rota piloto: 25 carretas/mês × 6 meses = 150 cargas; ~4.500 t</t>
  </si>
  <si>
    <t xml:space="preserve">Cobrir 1 destino (ex.: Aratu); KPI: 100% no prazo, 0 quebra de carga</t>
  </si>
  <si>
    <t xml:space="preserve">Frete BIODIESEL (Iraquara → distribuidoras NE)</t>
  </si>
  <si>
    <t xml:space="preserve">1 rota: 12 carretas-tanque/mês × 6 meses = 72 viagens; ~2.160 m³</t>
  </si>
  <si>
    <t xml:space="preserve">Habilitar MOPP + ANTT; KPI: 0 incidente ANP em 6 meses</t>
  </si>
  <si>
    <t xml:space="preserve">ORIGINAÇÃO de soja com Selo Biocombustível Social (Pronaf BA)</t>
  </si>
  <si>
    <t xml:space="preserve">Hub piloto Brat Agro com 50 cooperados em LEM/Barreiras: 3.000 t na safra</t>
  </si>
  <si>
    <t xml:space="preserve">Habilitação SIB-MDA; KPI: ≥30% da soja com Selo Social no MVP</t>
  </si>
  <si>
    <t xml:space="preserve">Importação coletiva METANOL (drawback + DESENVOLVE-BA)</t>
  </si>
  <si>
    <t xml:space="preserve">1 lote piloto: 5.000 t de metanol importado de Trinidad</t>
  </si>
  <si>
    <t xml:space="preserve">Comprovar economia ≥8% vs preço atual; KPI: redução R$ 280/t no FOB</t>
  </si>
  <si>
    <t xml:space="preserve">Compra coletiva fertilizantes/defensivos p/ produtores Pronaf</t>
  </si>
  <si>
    <t xml:space="preserve">Pacote piloto: 800 t fertilizante + 50 t defensivo p/ 50 cooperados</t>
  </si>
  <si>
    <t xml:space="preserve">Reduzir custo do produtor 8-12%; produtor entrega soja Selo Social</t>
  </si>
  <si>
    <t xml:space="preserve">Coleta cooperada SEBO BOVINO (frigoríficos BA/TO)</t>
  </si>
  <si>
    <t xml:space="preserve">Hub piloto: 8 frigoríficos × 200 t/mês × 4 meses = 6.400 t</t>
  </si>
  <si>
    <t xml:space="preserve">Diversificar matéria-prima do biodiesel; KPI: 8% do mix de óleos/gorduras</t>
  </si>
  <si>
    <t xml:space="preserve">Compra direto-fábrica B100 p/ frota Brat Cargas</t>
  </si>
  <si>
    <t xml:space="preserve">Piloto: 800.000 L B100 em 6 meses (frota 30 carretas Brat)</t>
  </si>
  <si>
    <t xml:space="preserve">Economia 8-12% vs distribuidora; KPI: R$/L abaixo de R$ 5,80</t>
  </si>
  <si>
    <t xml:space="preserve">Suprimento LENHA cooperativo (caldeira Oleoplan) — VER ABA 9</t>
  </si>
  <si>
    <t xml:space="preserve">MVP: 5.000 m³ st (~10% do consumo anual) em 6 meses</t>
  </si>
  <si>
    <t xml:space="preserve">Comprovar economia 12-15% + sustentabilidade ESG; KPI: 100% origem certificada</t>
  </si>
  <si>
    <t xml:space="preserve">Drone agro p/ cooperados Pronaf (pulverização + NDVI)</t>
  </si>
  <si>
    <t xml:space="preserve">Atendimento de 30 cooperados × 50 ha = 1.500 ha de serviço</t>
  </si>
  <si>
    <t xml:space="preserve">Aumentar produtividade do cooperado 12%; reforça Selo Social</t>
  </si>
  <si>
    <t xml:space="preserve">TOTAIS — PROGRAMA INTEGRADO 10 MVPs</t>
  </si>
  <si>
    <t xml:space="preserve">INTERPRETAÇÃO — POR QUE O PITCH FECHA</t>
  </si>
  <si>
    <t xml:space="preserve">1) RECEITA AGREGADA DOS MVPs (~R$ 74 milhões no 1º ano) representa apenas 3,2% da receita estimada Iraquara — ou seja, é uma operação de baixo risco para a Oleoplan testar.
2) GANHO OLEOPLAN (~R$ 2,4 milhões/ano em economia) é capturado SEM CAPEX da indústria, apenas pela troca de fornecedor.
3) GANHO BRAT (~R$ 1,8 milhão/ano em margem cooperativa) é receita NOVA com investimento total de R$ 2,1 milhões — payback médio ponderado de 14 meses.
4) GANHO COOPERADOS (~R$ 2,8 milhões/ano) distribuído entre 100-200 famílias rurais, motoristas autônomos e frigoríficos — fortalece a tese ESG e o Selo Biocombustível Social da Oleoplan, que pleiteia metas crescentes.
5) PRÓXIMO MOVIMENTO: priorizar MVPs #5 (metanol — payback 5 meses, maior R$ ganho/Oleoplan), #9 (lenha — caso emblemático com R$ 50 mi anuais movimentando), #1 (frete soja — base operacional Brat Cargas).</t>
  </si>
  <si>
    <t xml:space="preserve">CASO LENHA — DEEP DIVE (R$ 50 milhões/ano em compras de Oleoplan)</t>
  </si>
  <si>
    <t xml:space="preserve">CONTEXTO DO CONSUMO DE LENHA NA UNIDADE IRAQUARA</t>
  </si>
  <si>
    <t xml:space="preserve">DADO INFORMADO PELO USUÁRIO: Oleoplan Iraquara compra R$ 50 milhões/ano de lenha. ANÁLISE: A unidade opera caldeiras de biomassa para gerar VAPOR no processo de esmagamento de soja (secagem + condicionamento + extração com hexano + recuperação de solvente) e na transesterificação (aquecimento do reator). Em uma planta que esmaga 658.414 t de soja/ano, o consumo típico é de 0,35-0,45 m³ st de lenha por tonelada de soja, ou seja, ~250-300 mil m³ st/ano. A R$ ~180/m³ st (preço médio Oeste BA / Chapada), isso bate com R$ 45-55 milhões/ano. CONFIRMADO. Hoje a Oleoplan compra ~30% de pequenos produtores (cota indireta do Selo Social via biomassa) e ~70% de grandes fornecedores empresariais — onde está a oportunidade cooperativa.</t>
  </si>
  <si>
    <t xml:space="preserve">DIMENSIONAMENTO DO MERCADO ATUAL (premissas em azul = editáveis)</t>
  </si>
  <si>
    <t xml:space="preserve">Compra anual total de lenha (Oleoplan)</t>
  </si>
  <si>
    <t xml:space="preserve">Dado informado pelo usuário (Roberto)</t>
  </si>
  <si>
    <t xml:space="preserve">Preço médio R$/m³ st</t>
  </si>
  <si>
    <t xml:space="preserve">R$/m³ st</t>
  </si>
  <si>
    <t xml:space="preserve">Mercado biomassa eucalipto + nativa de manejo Chapada Diamantina</t>
  </si>
  <si>
    <t xml:space="preserve">Volume anual estimado</t>
  </si>
  <si>
    <t xml:space="preserve">m³ st/ano</t>
  </si>
  <si>
    <t xml:space="preserve">Fórmula: gasto / preço</t>
  </si>
  <si>
    <t xml:space="preserve">% comprado de pequenos produtores hoje</t>
  </si>
  <si>
    <t xml:space="preserve">Estimativa — proxy do Selo Social</t>
  </si>
  <si>
    <t xml:space="preserve">% comprado de grandes fornecedores hoje</t>
  </si>
  <si>
    <t xml:space="preserve">Complementar</t>
  </si>
  <si>
    <t xml:space="preserve">Volume agricultura familiar atual (m³)</t>
  </si>
  <si>
    <t xml:space="preserve">Volume grandes fornecedores atual (m³)</t>
  </si>
  <si>
    <t xml:space="preserve">Gasto agricultura familiar atual (R$)</t>
  </si>
  <si>
    <t xml:space="preserve">Gasto grandes fornecedores atual (R$)</t>
  </si>
  <si>
    <t xml:space="preserve">ALVO da operação cooperativa</t>
  </si>
  <si>
    <t xml:space="preserve">CARGA TRIBUTÁRIA ESTIMADA — CENÁRIO ATUAL (compra direta de grande fornecedor)</t>
  </si>
  <si>
    <t xml:space="preserve">Alíquota Nominal</t>
  </si>
  <si>
    <t xml:space="preserve">Quem paga</t>
  </si>
  <si>
    <t xml:space="preserve">Embutido no preço (R$)</t>
  </si>
  <si>
    <t xml:space="preserve">ICMS-BA (lenha NCM 4401)</t>
  </si>
  <si>
    <t xml:space="preserve">Estadual</t>
  </si>
  <si>
    <t xml:space="preserve">Saída do fornecedor</t>
  </si>
  <si>
    <t xml:space="preserve">18% (art. 51 RICMS-BA)</t>
  </si>
  <si>
    <t xml:space="preserve">Grande fornecedor</t>
  </si>
  <si>
    <t xml:space="preserve">PIS não-cumulativo</t>
  </si>
  <si>
    <t xml:space="preserve">Receita bruta</t>
  </si>
  <si>
    <t xml:space="preserve">1,65%</t>
  </si>
  <si>
    <t xml:space="preserve">COFINS não-cumulativo</t>
  </si>
  <si>
    <t xml:space="preserve">7,60%</t>
  </si>
  <si>
    <t xml:space="preserve">Lucro Real do fornec.</t>
  </si>
  <si>
    <t xml:space="preserve">15% + 10% adic.</t>
  </si>
  <si>
    <t xml:space="preserve">ISS / Outros (manejo, transporte interno)</t>
  </si>
  <si>
    <t xml:space="preserve">Serviços auxiliares</t>
  </si>
  <si>
    <t xml:space="preserve">Fornecedor/cadeia</t>
  </si>
  <si>
    <t xml:space="preserve">TOTAL TRIBUTOS EMBUTIDOS (sobre R$ 35 mi de compra do grande fornecedor)</t>
  </si>
  <si>
    <t xml:space="preserve">34.55% do preço</t>
  </si>
  <si>
    <t xml:space="preserve">CENÁRIO COOPERATIVO — BRAT AGRO COMO INTERMEDIADORA</t>
  </si>
  <si>
    <t xml:space="preserve">ARQUITETURA: 
  Etapa 1 — Produtores florestais familiares (Pronaf-Florestal) e médios produtores se ASSOCIAM à Brat Agro Florestal.
  Etapa 2 — Produtor entrega lenha à Brat Agro = ATO COOPERADO (Lei 5.764/71 art. 79). Não há venda. Não incide ICMS, PIS, COFINS, IRPJ, CSLL nesta perna.
  Etapa 3 — Brat Agro vende a lenha à Oleoplan = ATO NÃO-COOPERADO (sujeito a tributação), MAS aplica:
    • EXCLUSÃO da base de PIS/COFINS dos valores repassados aos cooperados (MP 2158-35/2001 art. 15, II) — paga PIS/COFINS apenas sobre a TAXA ADM (margem da cooperativa);
    • IRPJ/CSLL ZERO sobre o resultado do ato cooperativo (Lei 5.764/71 art. 87 e 111; IN RFB 2.121/2022);
    • DIFERIMENTO/SUSPENSÃO de ICMS na saída para indústria de transformação (RICMS-BA — analisar enquadramento).
  Etapa 4 — Produtor (PF rural) tributa-se via ITR + Funrural (~2,3% sobre receita), sem IRPF se faturar dentro do limite rural.
RESULTADO: a Oleoplan paga preço FINAL menor (porque a cadeia está mais 'limpa' tributariamente) e recebe nota fiscal de uma cooperativa registrada como fornecedor — sem ônus operacional adicional.</t>
  </si>
  <si>
    <t xml:space="preserve">Alíquota efetiva</t>
  </si>
  <si>
    <t xml:space="preserve">ICMS-BA (com diferimento p/ insumo industrial)</t>
  </si>
  <si>
    <t xml:space="preserve">Saída cooperativa→indústria</t>
  </si>
  <si>
    <t xml:space="preserve">0% (diferimento)</t>
  </si>
  <si>
    <t xml:space="preserve">Diferido p/ Oleoplan</t>
  </si>
  <si>
    <t xml:space="preserve">RICMS-BA art. 286 (analisar)</t>
  </si>
  <si>
    <t xml:space="preserve">PIS sobre a margem da cooperativa (5%)</t>
  </si>
  <si>
    <t xml:space="preserve">Margem 5%</t>
  </si>
  <si>
    <t xml:space="preserve">1,65% × 5% = 0,083%</t>
  </si>
  <si>
    <t xml:space="preserve">Brat Agro</t>
  </si>
  <si>
    <t xml:space="preserve">MP 2158-35/2001 art. 15</t>
  </si>
  <si>
    <t xml:space="preserve">COFINS sobre a margem da cooperativa (5%)</t>
  </si>
  <si>
    <t xml:space="preserve">7,60% × 5% = 0,38%</t>
  </si>
  <si>
    <t xml:space="preserve">IRPJ — ato cooperativo</t>
  </si>
  <si>
    <t xml:space="preserve">Resultado coop.</t>
  </si>
  <si>
    <t xml:space="preserve">Lei 5.764/71 art. 87 e 111</t>
  </si>
  <si>
    <t xml:space="preserve">CSLL — ato cooperativo</t>
  </si>
  <si>
    <t xml:space="preserve">Funrural do produtor PF associado</t>
  </si>
  <si>
    <t xml:space="preserve">Receita do produtor (~70% do preço)</t>
  </si>
  <si>
    <t xml:space="preserve">1,5% (PF) ou 2,05% (PJ)</t>
  </si>
  <si>
    <t xml:space="preserve">Produtor cooperado</t>
  </si>
  <si>
    <t xml:space="preserve">Lei 8.212/91 art. 25</t>
  </si>
  <si>
    <t xml:space="preserve">ISS sobre a taxa adm da cooperativa</t>
  </si>
  <si>
    <t xml:space="preserve">Brat Agro (cidade-sede)</t>
  </si>
  <si>
    <t xml:space="preserve">LC 116/03 lista anexa</t>
  </si>
  <si>
    <t xml:space="preserve">TOTAL TRIBUTOS NO CENÁRIO COOPERATIVO (sobre R$ 50 mi total)</t>
  </si>
  <si>
    <t xml:space="preserve">QUADRO COMPARATIVO ATUAL × COOPERATIVO — POR R$ 50 MILHÕES DE COMPRA</t>
  </si>
  <si>
    <t xml:space="preserve">Item</t>
  </si>
  <si>
    <t xml:space="preserve">Cenário ATUAL</t>
  </si>
  <si>
    <t xml:space="preserve">Cenário COOPERATIVO</t>
  </si>
  <si>
    <t xml:space="preserve">Diferença (R$)</t>
  </si>
  <si>
    <t xml:space="preserve">Variação %</t>
  </si>
  <si>
    <t xml:space="preserve">Compra total de lenha (R$/ano)</t>
  </si>
  <si>
    <t xml:space="preserve">Tributos embutidos na cadeia (R$/ano)</t>
  </si>
  <si>
    <t xml:space="preserve">Economia anual p/ Oleoplan</t>
  </si>
  <si>
    <t xml:space="preserve">Margem Brat Agro (taxa adm 5%)</t>
  </si>
  <si>
    <t xml:space="preserve">Repasse aos cooperados (preço-prêmio sobre intermediário)</t>
  </si>
  <si>
    <t xml:space="preserve">Volume potencial atendido (m³ st/ano)</t>
  </si>
  <si>
    <t xml:space="preserve">PROPOSTA MVP — PRIMEIRO PILOTO DE LENHA COOPERATIVA</t>
  </si>
  <si>
    <t xml:space="preserve">ESCOPO: 5.000 m³ st (≈10% do consumo trimestral) em 90 dias.
ARQUITETURA: Brat Agro associa 30-50 produtores florestais (eucalipto + manejo legal de caatinga) na Chapada Diamantina, Vale do Paraguaçu e Oeste. Cooperados entregam em 'porteira do produtor' a Brat Agro, que faz consolidação e logística (via Brat Cargas) até a Oleoplan.
PREÇO PILOTO: R$ 165/m³ st (8% abaixo do mercado atual, repassando metade da economia tributária para a Oleoplan).
RECEITA MVP: 5.000 m³ × R$ 165 = R$ 825.000 (+ taxa adm capitalizada).
OBJETIVO DE COMPROVAÇÃO: Apresentar à Oleoplan o relatório com (a) economia capturada, (b) certificação de origem (manejo legal, sem desmatamento ilegal), (c) volume entregue dentro de SLA. Após validação: contrato anual de 50.000 m³ st (R$ 7,5 milhões/ano) e meta de chegar a 100% do volume hoje comprado de grandes fornecedores em 24 meses.
INVESTIMENTO BRAT AGRO: R$ 120.000 (estruturação documental, hub de carregamento, CAR de cada cooperado, ART do engenheiro florestal, primeira folha de pagamento administrativa). Payback: 9 meses já no MVP.</t>
  </si>
  <si>
    <t xml:space="preserve">ENGENHARIA TRIBUTÁRIA — COMPARATIVO ATO MERCANTIL × ATO COOPERADO POR R$ 1 MILHÃO</t>
  </si>
  <si>
    <t xml:space="preserve">MODELO PARAMÉTRICO POR R$ 1.000.000 DE OPERAÇÃO (escala fácil para qualquer volume)</t>
  </si>
  <si>
    <t xml:space="preserve">Modelo unitário: tributação total embutida em uma transação de R$ 1 milhão de matéria-prima/insumo, comparando (A) compra direta de fornecedor mercantil grande (Lucro Real) versus (B) compra via Brat Cooperativa com produtores associados. Use multiplicador para extrapolar para qualquer volume. Suporta legalmente a tese da redução tributária para os 70% de compras hoje feitas com grandes fornecedores (caso lenha) ou para qualquer outro insumo agro-florestal (soja, sebo, fertilizante, defensivo). NÃO se aplica a metanol (insumo industrial puro) ou serviços técnicos especializados sem cooperados produtores.</t>
  </si>
  <si>
    <t xml:space="preserve">CENÁRIO A — COMPRA DIRETA DE GRANDE FORNECEDOR (Lucro Real)</t>
  </si>
  <si>
    <t xml:space="preserve">Componente</t>
  </si>
  <si>
    <t xml:space="preserve">Base de cálculo (R$)</t>
  </si>
  <si>
    <t xml:space="preserve">Alíquota</t>
  </si>
  <si>
    <t xml:space="preserve">Tributo (R$)</t>
  </si>
  <si>
    <t xml:space="preserve">ICMS-BA (alíquota interna lenha NCM 4401)</t>
  </si>
  <si>
    <t xml:space="preserve">Grande fornec.</t>
  </si>
  <si>
    <t xml:space="preserve">Sub-total tributos sobre receita</t>
  </si>
  <si>
    <t xml:space="preserve">Margem operacional bruta (após tributos)</t>
  </si>
  <si>
    <t xml:space="preserve">Margem do fornec.</t>
  </si>
  <si>
    <t xml:space="preserve">IRPJ + adicional (10% sobre o que excede)</t>
  </si>
  <si>
    <t xml:space="preserve">Sub-total tributação sobre lucro</t>
  </si>
  <si>
    <t xml:space="preserve">Folha + INSS Patronal + Encargos (estimado)</t>
  </si>
  <si>
    <t xml:space="preserve">TOTAL TRIBUTOS EMBUTIDOS — CENÁRIO A</t>
  </si>
  <si>
    <t xml:space="preserve">CENÁRIO B — COMPRA VIA BRAT COOPERATIVA (com produtores associados)</t>
  </si>
  <si>
    <t xml:space="preserve">ICMS-BA (com diferimento art. 286 RICMS — analisar)</t>
  </si>
  <si>
    <t xml:space="preserve">Diferido p/ destinatário</t>
  </si>
  <si>
    <t xml:space="preserve">PIS sobre margem cooperativa (excluindo repasses)</t>
  </si>
  <si>
    <t xml:space="preserve">Cooperativa Brat</t>
  </si>
  <si>
    <t xml:space="preserve">COFINS sobre margem cooperativa (excluindo repasses)</t>
  </si>
  <si>
    <t xml:space="preserve">IRPJ — ato cooperativo (não-incidência)</t>
  </si>
  <si>
    <t xml:space="preserve">Lei 5.764/71 art. 87</t>
  </si>
  <si>
    <t xml:space="preserve">CSLL — ato cooperativo (não-incidência)</t>
  </si>
  <si>
    <t xml:space="preserve">Funrural do produtor (sobre o que ele recebe)</t>
  </si>
  <si>
    <t xml:space="preserve">Produtor PF</t>
  </si>
  <si>
    <t xml:space="preserve">ISS na taxa adm (município sede da cooperativa)</t>
  </si>
  <si>
    <t xml:space="preserve">Folha (cooperativa enxuta — overhead admin.)</t>
  </si>
  <si>
    <t xml:space="preserve">TOTAL TRIBUTOS EMBUTIDOS — CENÁRIO B</t>
  </si>
  <si>
    <t xml:space="preserve">DIFERENÇA ENTRE OS CENÁRIOS</t>
  </si>
  <si>
    <t xml:space="preserve">Cenário A</t>
  </si>
  <si>
    <t xml:space="preserve">Cenário B</t>
  </si>
  <si>
    <t xml:space="preserve">Tributos totais sobre R$ 1 milhão</t>
  </si>
  <si>
    <t xml:space="preserve">% efetivo de tributação sobre o preço</t>
  </si>
  <si>
    <t xml:space="preserve">Economia REAL para a Oleoplan (50% repassado)</t>
  </si>
  <si>
    <t xml:space="preserve">Margem capturada pela Brat Cooperativa</t>
  </si>
  <si>
    <t xml:space="preserve">CALCULADORA DE EXTRAPOLAÇÃO (multiplicador para outros volumes)</t>
  </si>
  <si>
    <t xml:space="preserve">Para qualquer compra anual da Oleoplan via cooperativa, multiplique:
  • ECONOMIA TRIBUTÁRIA TOTAL DA CADEIA = (Compra anual em R$ ÷ 1.000.000) × R$ 425.245 (= total_a − total_b)
  • ECONOMIA REAL CAPTURADA PELA OLEOPLAN (50%) = (Compra anual em R$ ÷ 1.000.000) × R$ 212.622
  • MARGEM LÍQUIDA BRAT COOPERATIVA = (Compra anual em R$ ÷ 1.000.000) × R$ 28.875
EXEMPLOS:
  • Lenha R$ 35 mi (70% comprado de grandes hoje): economia tributária ≈ R$ 14,9 mi/ano. Oleoplan captura R$ 7,4 mi. Brat ganha R$ 1,01 mi.
  • Sebo bovino R$ 41,6 mi: economia tributária ≈ R$ 17,7 mi/ano. Oleoplan captura R$ 8,8 mi. Brat ganha R$ 1,2 mi.
  • Soja Selo Social R$ 250 mi: a economia é DIFERENTE (zero PIS/COFINS por Decreto 10.527/2020) — não usar este modelo, usar modelo Selo Social específico.</t>
  </si>
  <si>
    <t xml:space="preserve">CADASTRO DA BRAT COMO FORNECEDOR DA OLEOPLAN — CHECKLIST OPERACIONAL</t>
  </si>
  <si>
    <t xml:space="preserve">REQUISITOS DOCUMENTAIS PADRÃO PARA HOMOLOGAÇÃO COMO FORNECEDOR INDÚSTRIA AAA</t>
  </si>
  <si>
    <t xml:space="preserve">Documento / Requisito</t>
  </si>
  <si>
    <t xml:space="preserve">Status Brat Cargas</t>
  </si>
  <si>
    <t xml:space="preserve">Status Brat Agro</t>
  </si>
  <si>
    <t xml:space="preserve">Prazo p/ obter</t>
  </si>
  <si>
    <t xml:space="preserve">CNPJ ativo + Cartão CNPJ atualizado</t>
  </si>
  <si>
    <t xml:space="preserve">OK</t>
  </si>
  <si>
    <t xml:space="preserve">Imediato</t>
  </si>
  <si>
    <t xml:space="preserve">Conferir CNAEs alinhados ao escopo: 4930-2 (transporte rodov.) p/ Cargas; 0162-8 / 0220-9 / 0163-6 p/ Agro/Florestal</t>
  </si>
  <si>
    <t xml:space="preserve">Estatuto Social registrado em JUCEB (cooperativa)</t>
  </si>
  <si>
    <t xml:space="preserve">Verificar</t>
  </si>
  <si>
    <t xml:space="preserve">30 dias se necessário</t>
  </si>
  <si>
    <t xml:space="preserve">Cooperativa exige estatuto, ata fundação e ata de eleição de diretoria registrados</t>
  </si>
  <si>
    <t xml:space="preserve">Inscrição Estadual SEFAZ-BA ativa (SINTEGRA)</t>
  </si>
  <si>
    <t xml:space="preserve">Necessário</t>
  </si>
  <si>
    <t xml:space="preserve">15-30 dias</t>
  </si>
  <si>
    <t xml:space="preserve">Cooperativas que vendem mercadorias precisam IE; cooperativas só de serviço/transporte podem ter regime específico</t>
  </si>
  <si>
    <t xml:space="preserve">Inscrição Municipal (cidade-sede)</t>
  </si>
  <si>
    <t xml:space="preserve">5 dias</t>
  </si>
  <si>
    <t xml:space="preserve">Salvador / Iraquara / Barreiras conforme estratégia de ISS</t>
  </si>
  <si>
    <t xml:space="preserve">Certidões Negativas: Federal RFB, Estadual SEFAZ-BA, Municipal, FGTS, Trabalhista (TST)</t>
  </si>
  <si>
    <t xml:space="preserve">Em dia</t>
  </si>
  <si>
    <t xml:space="preserve">Validade 30-60 dias — mantém em rotina mensal</t>
  </si>
  <si>
    <t xml:space="preserve">Comprovante de capital social integralizado</t>
  </si>
  <si>
    <t xml:space="preserve">Cooperativas: capital subscrito por cooperados</t>
  </si>
  <si>
    <t xml:space="preserve">Demonstrações Contábeis últimos 2 anos (BP + DRE auditadas)</t>
  </si>
  <si>
    <t xml:space="preserve">Para cooperativas iniciantes: balanço de abertura + projeções</t>
  </si>
  <si>
    <t xml:space="preserve">Política Anticorrupção (Lei 12.846/2013)</t>
  </si>
  <si>
    <t xml:space="preserve">Implementar</t>
  </si>
  <si>
    <t xml:space="preserve">Modelo padrão Compliance — adesão obrigatória em fornecedores AAA</t>
  </si>
  <si>
    <t xml:space="preserve">Política ESG / Sustentabilidade</t>
  </si>
  <si>
    <t xml:space="preserve">Oleoplan tem certificações ISCC/GMP+ — exigirá rastreabilidade da cadeia</t>
  </si>
  <si>
    <t xml:space="preserve">Termo Pacto Empresarial pela Integridade e Contra Corrupção</t>
  </si>
  <si>
    <t xml:space="preserve">Aderir</t>
  </si>
  <si>
    <t xml:space="preserve">Documento padrão</t>
  </si>
  <si>
    <t xml:space="preserve">Apólice de Responsabilidade Civil (RCFV+RCDC para transporte)</t>
  </si>
  <si>
    <t xml:space="preserve">Necessário p/ Cargas</t>
  </si>
  <si>
    <t xml:space="preserve">Cobertura mín. R$ 500k-1mi para químico/biodiesel; ANTT-MOPP exige</t>
  </si>
  <si>
    <t xml:space="preserve">ANTT — RNTRC ativo</t>
  </si>
  <si>
    <t xml:space="preserve">Registro Nacional Transportador Rodov. Carga</t>
  </si>
  <si>
    <t xml:space="preserve">Licenças ambientais (INEMA/IBAMA) para coop. florestal</t>
  </si>
  <si>
    <t xml:space="preserve">60-90 dias</t>
  </si>
  <si>
    <t xml:space="preserve">Para coop florestal: licença de operação + DOF (Documento Origem Florestal) + CAR cada cooperado</t>
  </si>
  <si>
    <t xml:space="preserve">Habilitação SIB-MDA (Selo Biocombustível Social)</t>
  </si>
  <si>
    <t xml:space="preserve">Necessário p/ soja agric. fam.</t>
  </si>
  <si>
    <t xml:space="preserve">45 dias</t>
  </si>
  <si>
    <t xml:space="preserve">MVP #4 — soja Pronaf p/ Selo Social</t>
  </si>
  <si>
    <t xml:space="preserve">ART (Anotação Resp. Técnica) de engenheiro florestal/agrônomo</t>
  </si>
  <si>
    <t xml:space="preserve">CREA-BA — vinculado a operação florestal</t>
  </si>
  <si>
    <t xml:space="preserve">Certificação de origem da matéria-prima (manejo legal)</t>
  </si>
  <si>
    <t xml:space="preserve">Necessário p/ lenha</t>
  </si>
  <si>
    <t xml:space="preserve">45-60 dias</t>
  </si>
  <si>
    <t xml:space="preserve">Para lenha: comprovação de manejo legal — DOF SISFLORA / CAR de cada produtor cooperado</t>
  </si>
  <si>
    <t xml:space="preserve">Cadastro técnico no portal de fornecedores Oleoplan</t>
  </si>
  <si>
    <t xml:space="preserve">Solicitar via departamento de Suprimentos da Oleoplan (Porto Alegre/RS — corporativo)</t>
  </si>
  <si>
    <t xml:space="preserve">Visita técnica e auditoria SQA (Sistema Qualidade Assegurada)</t>
  </si>
  <si>
    <t xml:space="preserve">Padrão indústria de combustível — pode incluir 5S, sistema de gestão</t>
  </si>
  <si>
    <t xml:space="preserve">ROTA DE APROVAÇÃO — FLUXO ESPERADO PARA CADASTRO COMO FORNECEDOR</t>
  </si>
  <si>
    <t xml:space="preserve">Responsável Brat</t>
  </si>
  <si>
    <t xml:space="preserve">Interface Oleoplan</t>
  </si>
  <si>
    <t xml:space="preserve">Marco</t>
  </si>
  <si>
    <t xml:space="preserve">Fase 0 — Pré-cadastro</t>
  </si>
  <si>
    <t xml:space="preserve">Reunir documentação, regularizar cooperativas, mapear áreas</t>
  </si>
  <si>
    <t xml:space="preserve">Diretoria Brat</t>
  </si>
  <si>
    <t xml:space="preserve">Pasta digital pronta</t>
  </si>
  <si>
    <t xml:space="preserve">Fase 1 — Apresentação inicial</t>
  </si>
  <si>
    <t xml:space="preserve">Reunião institucional via AIBA ou direto com Marcos Boff (CEO)</t>
  </si>
  <si>
    <t xml:space="preserve">Roberto Ribeiro</t>
  </si>
  <si>
    <t xml:space="preserve">Diretoria Industrial / CEO</t>
  </si>
  <si>
    <t xml:space="preserve">Reunião agendada</t>
  </si>
  <si>
    <t xml:space="preserve">Fase 2 — Pitch comercial</t>
  </si>
  <si>
    <t xml:space="preserve">Apresentar este dossiê + plano dos 10 MVPs + tese cooperativa</t>
  </si>
  <si>
    <t xml:space="preserve">Suprimentos + Industrial Iraquara</t>
  </si>
  <si>
    <t xml:space="preserve">20 dias</t>
  </si>
  <si>
    <t xml:space="preserve">Aprovação para piloto</t>
  </si>
  <si>
    <t xml:space="preserve">Fase 3 — Cadastro técnico</t>
  </si>
  <si>
    <t xml:space="preserve">Submissão completa no portal de fornecedores</t>
  </si>
  <si>
    <t xml:space="preserve">Compliance Brat</t>
  </si>
  <si>
    <t xml:space="preserve">Compras corporativas Oleoplan (POA)</t>
  </si>
  <si>
    <t xml:space="preserve">Cadastro homologado</t>
  </si>
  <si>
    <t xml:space="preserve">Fase 4 — Auditoria SQA</t>
  </si>
  <si>
    <t xml:space="preserve">Visita técnica + checklist de conformidade na sede Brat</t>
  </si>
  <si>
    <t xml:space="preserve">Operações Brat</t>
  </si>
  <si>
    <t xml:space="preserve">Auditor Oleoplan</t>
  </si>
  <si>
    <t xml:space="preserve">Aprovação SQA</t>
  </si>
  <si>
    <t xml:space="preserve">Fase 5 — Contrato MVP</t>
  </si>
  <si>
    <t xml:space="preserve">Contrato piloto 90-180 dias com cláusulas tributárias claras</t>
  </si>
  <si>
    <t xml:space="preserve">Jurídico Brat</t>
  </si>
  <si>
    <t xml:space="preserve">Jurídico Oleoplan</t>
  </si>
  <si>
    <t xml:space="preserve">Assinatura</t>
  </si>
  <si>
    <t xml:space="preserve">Fase 6 — Operação MVP</t>
  </si>
  <si>
    <t xml:space="preserve">Execução das 10 frentes em paralelo</t>
  </si>
  <si>
    <t xml:space="preserve">Áreas técnicas Oleoplan</t>
  </si>
  <si>
    <t xml:space="preserve">180 dias</t>
  </si>
  <si>
    <t xml:space="preserve">Fase 7 — Contrato-quadro</t>
  </si>
  <si>
    <t xml:space="preserve">Substituição dos pilotos por contrato de 24 meses + escala</t>
  </si>
  <si>
    <t xml:space="preserve">Diretoria Oleoplan</t>
  </si>
  <si>
    <t xml:space="preserve">Contrato AAA</t>
  </si>
  <si>
    <t xml:space="preserve">EXIGÊNCIAS ESPECÍFICAS POR TIPO DE FORNECIMENTO À OLEOPLAN</t>
  </si>
  <si>
    <t xml:space="preserve">Tipo de fornecimento</t>
  </si>
  <si>
    <t xml:space="preserve">Cooperativa Brat envolvida</t>
  </si>
  <si>
    <t xml:space="preserve">Exigência diferenciada</t>
  </si>
  <si>
    <t xml:space="preserve">Tempo p/ habilitar</t>
  </si>
  <si>
    <t xml:space="preserve">Frete rodoviário (soja, farelo, lenha)</t>
  </si>
  <si>
    <t xml:space="preserve">Brat Cargas</t>
  </si>
  <si>
    <t xml:space="preserve">RNTRC + RCFV + frota dedicada com placa branca PJ + rastreador on-board</t>
  </si>
  <si>
    <t xml:space="preserve">Padrão ANTT/Oleoplan</t>
  </si>
  <si>
    <t xml:space="preserve">Frete químico (biodiesel B100)</t>
  </si>
  <si>
    <t xml:space="preserve">ANTT-MOPP + tanques inox + treinamento NR-20 + apólice RCDC reforçada</t>
  </si>
  <si>
    <t xml:space="preserve">Crítico — risco classe 3</t>
  </si>
  <si>
    <t xml:space="preserve">Originação SOJA Selo Social</t>
  </si>
  <si>
    <t xml:space="preserve">Habilitação SIB-MDA + CAF dos cooperados + contratos de fornecimento</t>
  </si>
  <si>
    <t xml:space="preserve">Decreto 10.527/2020</t>
  </si>
  <si>
    <t xml:space="preserve">Originação LENHA</t>
  </si>
  <si>
    <t xml:space="preserve">Brat Agro Florestal (criar)</t>
  </si>
  <si>
    <t xml:space="preserve">Licença INEMA + DOF/SISFLORA + ART eng. florestal + CAR cada cooperado</t>
  </si>
  <si>
    <t xml:space="preserve">Compliance ambiental rigoroso</t>
  </si>
  <si>
    <t xml:space="preserve">Coleta SEBO BOVINO</t>
  </si>
  <si>
    <t xml:space="preserve">Brat Agro Animal (subseção)</t>
  </si>
  <si>
    <t xml:space="preserve">Registro SIE/SISBI ou pelo menos vínculo a frigoríficos com SIF/SIE + cadeia frio</t>
  </si>
  <si>
    <t xml:space="preserve">Sanitário + SIF</t>
  </si>
  <si>
    <t xml:space="preserve">Importação METANOL</t>
  </si>
  <si>
    <t xml:space="preserve">Brat Trade (estruturar)</t>
  </si>
  <si>
    <t xml:space="preserve">RADAR (Receita Federal) + habilitação Siscomex + drawback + DESENVOLVE-BA</t>
  </si>
  <si>
    <t xml:space="preserve">90-120 dias</t>
  </si>
  <si>
    <t xml:space="preserve">Regime aduaneiro especial</t>
  </si>
  <si>
    <t xml:space="preserve">Drone agro (AgroPulse)</t>
  </si>
  <si>
    <t xml:space="preserve">Brat Aero</t>
  </si>
  <si>
    <t xml:space="preserve">DECEA/ANAC SACI cadastro RPAS + ART eng. agrônomo + receituário agronômico</t>
  </si>
  <si>
    <t xml:space="preserve">Para defensivos: AGAPAN</t>
  </si>
  <si>
    <t xml:space="preserve">BASE LEGAL DO COOPERATIVISMO — ARMADURA JURÍDICA DA TESE TRIBUTÁRIA</t>
  </si>
  <si>
    <t xml:space="preserve">1. CONSTITUIÇÃO FEDERAL — FUNDAMENTO MAIOR</t>
  </si>
  <si>
    <t xml:space="preserve">Norma</t>
  </si>
  <si>
    <t xml:space="preserve">Dispositivo</t>
  </si>
  <si>
    <t xml:space="preserve">Tema</t>
  </si>
  <si>
    <t xml:space="preserve">Texto / aplicação</t>
  </si>
  <si>
    <t xml:space="preserve">Vigência</t>
  </si>
  <si>
    <t xml:space="preserve">CF/88</t>
  </si>
  <si>
    <t xml:space="preserve">art. 5º, XVIII</t>
  </si>
  <si>
    <t xml:space="preserve">Liberdade de associação</t>
  </si>
  <si>
    <t xml:space="preserve">A criação de associações e, na forma da lei, a de cooperativas independem de autorização, sendo vedada a interferência estatal em seu funcionamento.</t>
  </si>
  <si>
    <t xml:space="preserve">Em vigor</t>
  </si>
  <si>
    <t xml:space="preserve">art. 146, III, 'c'</t>
  </si>
  <si>
    <t xml:space="preserve">Reserva de LC</t>
  </si>
  <si>
    <t xml:space="preserve">Cabe à lei complementar estabelecer normas gerais em matéria de legislação tributária, especialmente sobre adequado tratamento ao ato cooperativo praticado pelas sociedades cooperativas.</t>
  </si>
  <si>
    <t xml:space="preserve">art. 174, §2º</t>
  </si>
  <si>
    <t xml:space="preserve">Apoio ao cooperativismo</t>
  </si>
  <si>
    <t xml:space="preserve">A lei apoiará e estimulará o cooperativismo e outras formas de associativismo.</t>
  </si>
  <si>
    <t xml:space="preserve">art. 187, VI</t>
  </si>
  <si>
    <t xml:space="preserve">Política agrícola e cooperativismo</t>
  </si>
  <si>
    <t xml:space="preserve">A política agrícola será planejada e executada... considerando-se especialmente o cooperativismo.</t>
  </si>
  <si>
    <t xml:space="preserve">art. 192</t>
  </si>
  <si>
    <t xml:space="preserve">Sistema financeiro nacional cooperativo</t>
  </si>
  <si>
    <t xml:space="preserve">O sistema financeiro nacional... será regulado por leis complementares incluindo cooperativas de crédito.</t>
  </si>
  <si>
    <t xml:space="preserve">2. LEI GERAL DAS COOPERATIVAS — Lei 5.764/1971</t>
  </si>
  <si>
    <t xml:space="preserve">Lei 5.764/1971</t>
  </si>
  <si>
    <t xml:space="preserve">art. 3º</t>
  </si>
  <si>
    <t xml:space="preserve">Princípio cooperativo</t>
  </si>
  <si>
    <t xml:space="preserve">Celebram contrato de sociedade cooperativa as pessoas que reciprocamente se obrigam a contribuir com bens ou serviços para o exercício de uma atividade econômica de proveito comum, sem objetivo de lucro.</t>
  </si>
  <si>
    <t xml:space="preserve">art. 79 caput</t>
  </si>
  <si>
    <t xml:space="preserve">Definição ATO COOPERATIVO</t>
  </si>
  <si>
    <t xml:space="preserve">Denominam-se atos cooperativos os praticados entre as cooperativas e seus associados, entre estes e aquelas e pelas cooperativas entre si quando associados, para a consecução dos objetivos sociais.</t>
  </si>
  <si>
    <t xml:space="preserve">Em vigor — pilar da tese</t>
  </si>
  <si>
    <t xml:space="preserve">art. 79 §único</t>
  </si>
  <si>
    <t xml:space="preserve">Não-mercantilidade do ato cooperativo</t>
  </si>
  <si>
    <t xml:space="preserve">O ato cooperativo NÃO IMPLICA OPERAÇÃO DE MERCADO, NEM CONTRATO DE COMPRA E VENDA de produto ou mercadoria.</t>
  </si>
  <si>
    <t xml:space="preserve">Em vigor — base da não-tributação</t>
  </si>
  <si>
    <t xml:space="preserve">art. 86</t>
  </si>
  <si>
    <t xml:space="preserve">Operações com não-associados</t>
  </si>
  <si>
    <t xml:space="preserve">As cooperativas poderão fornecer bens e serviços a não associados, desde que tal faculdade atenda aos objetivos sociais.</t>
  </si>
  <si>
    <t xml:space="preserve">art. 87</t>
  </si>
  <si>
    <t xml:space="preserve">Tributação das operações com não-associados</t>
  </si>
  <si>
    <t xml:space="preserve">Os resultados das operações das cooperativas com não associados serão levados à conta do Fundo de Assistência Técnica, Educacional e Social (FATES) e serão CONTABILIZADOS EM SEPARADO, de molde a permitir cálculo para incidência de tributos.</t>
  </si>
  <si>
    <t xml:space="preserve">art. 88</t>
  </si>
  <si>
    <t xml:space="preserve">Operações dos cooperados em duplicidade</t>
  </si>
  <si>
    <t xml:space="preserve">Poderão as cooperativas participar de sociedades não cooperativas para melhor atendimento dos próprios objetivos e os de caráter complementar...</t>
  </si>
  <si>
    <t xml:space="preserve">art. 111</t>
  </si>
  <si>
    <t xml:space="preserve">Renda tributável das cooperativas</t>
  </si>
  <si>
    <t xml:space="preserve">Serão considerados como RENDA TRIBUTÁVEL os resultados positivos obtidos pelas cooperativas nas operações de que tratam os artigos 85, 86 e 88 desta Lei. (a contrario sensu: ato cooperativo NÃO é renda tributável)</t>
  </si>
  <si>
    <t xml:space="preserve">Em vigor — base IRPJ/CSLL</t>
  </si>
  <si>
    <t xml:space="preserve">3. PIS/COFINS — EXCLUSÕES PARA COOPERATIVAS</t>
  </si>
  <si>
    <t xml:space="preserve">MP 2.158-35/2001</t>
  </si>
  <si>
    <t xml:space="preserve">art. 15</t>
  </si>
  <si>
    <t xml:space="preserve">EXCLUSÕES DA BASE DE CÁLCULO PIS/COFINS</t>
  </si>
  <si>
    <t xml:space="preserve">Sociedades cooperativas, observado o disposto nos §§ 9º e 10 do art. 3º da Lei 9.718/98, poderão excluir da base de cálculo da COFINS e do PIS, além dos valores previstos no §§ acima: I — os valores repassados aos associados, decorrentes da comercialização de produto por eles entregue à cooperativa; II — as receitas de venda de bens e mercadorias a associados; III — as receitas decorrentes da prestação, aos associados, de serviços especializados...; IV — as receitas decorrentes do beneficiamento, armazenamento e industrialização de produção do associado; V — as receitas financeiras decorrentes de repasses de empréstimos rurais contraídos junto a instituições financeiras, até o limite dos encargos a estas devidos.</t>
  </si>
  <si>
    <t xml:space="preserve">Em vigor — alavanca-mãe da tese</t>
  </si>
  <si>
    <t xml:space="preserve">Lei 10.676/2003</t>
  </si>
  <si>
    <t xml:space="preserve">art. 1º e 2º</t>
  </si>
  <si>
    <t xml:space="preserve">Exclusões adicionais para cooperativas de produção agropecuária</t>
  </si>
  <si>
    <t xml:space="preserve">Permite exclusões específicas; cooperativa pode tributar pelo lucro presumido; possibilidade de regime especial.</t>
  </si>
  <si>
    <t xml:space="preserve">Lei 10.865/2004</t>
  </si>
  <si>
    <t xml:space="preserve">art. 17</t>
  </si>
  <si>
    <t xml:space="preserve">Crédito presumido cooperativo</t>
  </si>
  <si>
    <t xml:space="preserve">Cria créditos presumidos para cooperativas de produção</t>
  </si>
  <si>
    <t xml:space="preserve">IN RFB 2.121/2022</t>
  </si>
  <si>
    <t xml:space="preserve">art. 245 a 256</t>
  </si>
  <si>
    <t xml:space="preserve">Regulamentação PIS/COFINS cooperativas</t>
  </si>
  <si>
    <t xml:space="preserve">Consolida e detalha as regras de exclusões, créditos e regime das cooperativas. Revisar antes de cada operação.</t>
  </si>
  <si>
    <t xml:space="preserve">Em vigor (atualizada periodicamente)</t>
  </si>
  <si>
    <t xml:space="preserve">4. IRPJ/CSLL — NÃO-INCIDÊNCIA SOBRE ATO COOPERATIVO</t>
  </si>
  <si>
    <t xml:space="preserve">art. 87 e 111</t>
  </si>
  <si>
    <t xml:space="preserve">Não-tributação ato cooperativo</t>
  </si>
  <si>
    <t xml:space="preserve">Resultado de ato cooperativo NÃO compõe lucro tributável (a contrario sensu)</t>
  </si>
  <si>
    <t xml:space="preserve">Lei 9.532/1997</t>
  </si>
  <si>
    <t xml:space="preserve">art. 13</t>
  </si>
  <si>
    <t xml:space="preserve">Imunidade/Isenção IRPJ cooperativas</t>
  </si>
  <si>
    <t xml:space="preserve">Esclarece o tratamento tributário das cooperativas em relação ao IRPJ</t>
  </si>
  <si>
    <t xml:space="preserve">RIR/2018 (Decreto 9.580/2018)</t>
  </si>
  <si>
    <t xml:space="preserve">art. 193 a 198</t>
  </si>
  <si>
    <t xml:space="preserve">Regulamento IRPJ — Cooperativas</t>
  </si>
  <si>
    <t xml:space="preserve">Tratamento das cooperativas no Lucro Real, distinguindo ato cooperado e não-cooperado</t>
  </si>
  <si>
    <t xml:space="preserve">IN RFB 1.700/2017</t>
  </si>
  <si>
    <t xml:space="preserve">art. 211 a 215</t>
  </si>
  <si>
    <t xml:space="preserve">Cooperativas no IRPJ/CSLL</t>
  </si>
  <si>
    <t xml:space="preserve">Detalha apuração do resultado do ato cooperativo e do não-cooperativo</t>
  </si>
  <si>
    <t xml:space="preserve">STF — RE 599.362 / Tema 177 RG</t>
  </si>
  <si>
    <t xml:space="preserve">Repercussão geral</t>
  </si>
  <si>
    <t xml:space="preserve">Discutiu PIS/COFINS sobre atos cooperativos — fixou que ato cooperativo típico não tem incidência de PIS/COFINS no regime cumulativo (interpretação favorável ao cooperativismo).</t>
  </si>
  <si>
    <t xml:space="preserve">Trânsito em julgado</t>
  </si>
  <si>
    <t xml:space="preserve">STJ — REsp 58.265 e jurisprudência consolidada</t>
  </si>
  <si>
    <t xml:space="preserve">Não-mercantilidade</t>
  </si>
  <si>
    <t xml:space="preserve">Reconhece que ato cooperativo típico não é fato gerador de tributos sobre operações comerciais</t>
  </si>
  <si>
    <t xml:space="preserve">Consolidado</t>
  </si>
  <si>
    <t xml:space="preserve">5. ICMS — TRATAMENTO ESTADUAL (Bahia)</t>
  </si>
  <si>
    <t xml:space="preserve">CONFAZ — Convênio ICM 44/1975</t>
  </si>
  <si>
    <t xml:space="preserve">Isenção sobre operações cooperativas (parcial)</t>
  </si>
  <si>
    <t xml:space="preserve">Autoriza isenção de ICMS nas saídas de mercadorias entre estabelecimentos de cooperativa de produção e seus associados (analisar a adesão da Bahia)</t>
  </si>
  <si>
    <t xml:space="preserve">Em vigor — parcial por estado</t>
  </si>
  <si>
    <t xml:space="preserve">CONFAZ — Convênio ICMS 100/1997</t>
  </si>
  <si>
    <t xml:space="preserve">Redução base cálculo insumos agropecuários</t>
  </si>
  <si>
    <t xml:space="preserve">Reduz base de cálculo em insumos agropecuários — aplicável a fertilizante, defensivo, etc.</t>
  </si>
  <si>
    <t xml:space="preserve">Lei BA 7.014/1996</t>
  </si>
  <si>
    <t xml:space="preserve">art. 287 e ss.</t>
  </si>
  <si>
    <t xml:space="preserve">Isenções específicas estaduais</t>
  </si>
  <si>
    <t xml:space="preserve">Lei do ICMS-BA prevê isenções/diferimentos em operações com matéria-prima destinada à indústria</t>
  </si>
  <si>
    <t xml:space="preserve">RICMS-BA (Decreto 13.780/2012)</t>
  </si>
  <si>
    <t xml:space="preserve">art. 286, art. 51 e tabelas</t>
  </si>
  <si>
    <t xml:space="preserve">Diferimento e alíquotas</t>
  </si>
  <si>
    <t xml:space="preserve">Diferimento em operações com matéria-prima a estabelecimentos industriais. CONFIRMAR enquadramento da operação cooperativa.</t>
  </si>
  <si>
    <t xml:space="preserve">RICMS-BA</t>
  </si>
  <si>
    <t xml:space="preserve">art. 51</t>
  </si>
  <si>
    <t xml:space="preserve">Alíquota interna lenha (NCM 4401)</t>
  </si>
  <si>
    <t xml:space="preserve">Alíquota interna padrão 18% para madeira/lenha; verificar redução p/ matéria-prima industrial.</t>
  </si>
  <si>
    <t xml:space="preserve">Decreto BA 22.266/2023</t>
  </si>
  <si>
    <t xml:space="preserve">Crédito presumido biodiesel</t>
  </si>
  <si>
    <t xml:space="preserve">93% sobre débito ICMS biodiesel; relevante para a TESE de FORNECIMENTO DE INSUMOS COMUNS COM A OLEOPLAN, mas não diretamente para a cooperativa</t>
  </si>
  <si>
    <t xml:space="preserve">6. REFORMA TRIBUTÁRIA — LC 214/2025 (IBS/CBS) e o NOVO REGIME COOPERATIVO</t>
  </si>
  <si>
    <t xml:space="preserve">EC 132/2023</t>
  </si>
  <si>
    <t xml:space="preserve">art. 156-A, §1º, IX e §6º</t>
  </si>
  <si>
    <t xml:space="preserve">Tratamento favorecido cooperativas</t>
  </si>
  <si>
    <t xml:space="preserve">A Constituição passou a determinar tratamento favorecido às sociedades cooperativas, inclusive com regimes específicos no IBS e CBS.</t>
  </si>
  <si>
    <t xml:space="preserve">Em vigor (transição)</t>
  </si>
  <si>
    <t xml:space="preserve">LC 214/2025</t>
  </si>
  <si>
    <t xml:space="preserve">Título V, Cap. especial das cooperativas</t>
  </si>
  <si>
    <t xml:space="preserve">REGIME ESPECÍFICO DAS SOCIEDADES COOPERATIVAS</t>
  </si>
  <si>
    <t xml:space="preserve">Cooperativas podem optar por regime específico com: (a) suspensão/não-incidência IBS+CBS no ato cooperativo; (b) crédito integral para o adquirente; (c) tratamento favorecido nas operações entre cooperados e cooperativa.</t>
  </si>
  <si>
    <t xml:space="preserve">Em vigor — aplicação a partir de 2026 com fase de transição até 2033</t>
  </si>
  <si>
    <t xml:space="preserve">art. 271 a 280 (faixa estimada — confirmar com texto consolidado)</t>
  </si>
  <si>
    <t xml:space="preserve">Conceito de ato cooperativo no novo regime</t>
  </si>
  <si>
    <t xml:space="preserve">Mantém o conceito da Lei 5.764/71 art. 79 e estende para o IBS/CBS — opcional para a cooperativa.</t>
  </si>
  <si>
    <t xml:space="preserve">Capítulo Combustíveis art. 172 e ss.</t>
  </si>
  <si>
    <t xml:space="preserve">Tributação monofásica biodiesel IBS/CBS</t>
  </si>
  <si>
    <t xml:space="preserve">Biodiesel sob regime monofásico ad rem nacional uniforme. Transição gradual 2026-2033.</t>
  </si>
  <si>
    <t xml:space="preserve">Cesta agro / regime diferenciado agropecuário</t>
  </si>
  <si>
    <t xml:space="preserve">Alíquotas reduzidas para insumos agropecuários</t>
  </si>
  <si>
    <t xml:space="preserve">Reduções diferenciadas para fertilizantes, defensivos, sementes, soja, lenha, etc. — favorece a cadeia cooperativa.</t>
  </si>
  <si>
    <t xml:space="preserve">Decreto 12.955/2026 (Regulamento CBS)</t>
  </si>
  <si>
    <t xml:space="preserve">Regulamento federal</t>
  </si>
  <si>
    <t xml:space="preserve">Detalha o regime cooperativo no âmbito da CBS. Consultar antes de cada operação real.</t>
  </si>
  <si>
    <t xml:space="preserve">Em vigor — desde 30/abr/2026</t>
  </si>
  <si>
    <t xml:space="preserve">Resolução CGIBS 6/2026 (Regulamento IBS)</t>
  </si>
  <si>
    <t xml:space="preserve">Regulamento Estados/Municípios</t>
  </si>
  <si>
    <t xml:space="preserve">Detalha o regime cooperativo no âmbito do IBS.</t>
  </si>
  <si>
    <t xml:space="preserve">7. SELO BIOCOMBUSTÍVEL SOCIAL — INTERSEÇÃO COM COOPERATIVAS</t>
  </si>
  <si>
    <t xml:space="preserve">Lei 11.097/2005</t>
  </si>
  <si>
    <t xml:space="preserve">Marco do biodiesel no Brasil</t>
  </si>
  <si>
    <t xml:space="preserve">Cria o B2/B5 e estabelece as bases para o programa social do biocombustível</t>
  </si>
  <si>
    <t xml:space="preserve">Lei 11.116/2005</t>
  </si>
  <si>
    <t xml:space="preserve">art. 3º a 5º</t>
  </si>
  <si>
    <t xml:space="preserve">PIS/COFINS do biodiesel</t>
  </si>
  <si>
    <t xml:space="preserve">Regime monofásico — alíquotas ad rem reduzidas conforme matéria-prima e região</t>
  </si>
  <si>
    <t xml:space="preserve">art. 6º</t>
  </si>
  <si>
    <t xml:space="preserve">Selo Biocombustível Social — alíquota R$ 0,00</t>
  </si>
  <si>
    <t xml:space="preserve">PIS/COFINS = R$ 0,00 por m³ de biodiesel fabricado a partir de matérias-primas produzidas nas Regiões Norte, Nordeste e SEMIÁRIDO adquiridas de AGRICULTOR FAMILIAR enquadrado no PRONAF.</t>
  </si>
  <si>
    <t xml:space="preserve">Em vigor — base do MVP #4</t>
  </si>
  <si>
    <t xml:space="preserve">Lei 11.326/2006</t>
  </si>
  <si>
    <t xml:space="preserve">Lei da Agricultura Familiar e Pronaf</t>
  </si>
  <si>
    <t xml:space="preserve">Define quem é agricultor familiar; embasamento da CAF (Cadastro de Agricultor Familiar)</t>
  </si>
  <si>
    <t xml:space="preserve">MDA — Portaria SAF/MDA</t>
  </si>
  <si>
    <t xml:space="preserve">diversas</t>
  </si>
  <si>
    <t xml:space="preserve">Operacionalização do Selo</t>
  </si>
  <si>
    <t xml:space="preserve">Habilitação SIB-MDA, percentuais mínimos de aquisição da agric. fam., contratos de fornecimento.</t>
  </si>
  <si>
    <t xml:space="preserve">Em vigor (revisões periódicas)</t>
  </si>
  <si>
    <t xml:space="preserve">Lei 14.955/2024</t>
  </si>
  <si>
    <t xml:space="preserve">Lei do Combustível do Futuro</t>
  </si>
  <si>
    <t xml:space="preserve">Eleva o B15 e cria mecanismos adicionais — beneficia produtores como Oleoplan e amplia oportunidades p/ cooperativas Pronaf</t>
  </si>
  <si>
    <t xml:space="preserve">8. JURISPRUDÊNCIA RELEVANTE — STF/STJ/CARF</t>
  </si>
  <si>
    <t xml:space="preserve">Tribunal/Decisão</t>
  </si>
  <si>
    <t xml:space="preserve">Caso</t>
  </si>
  <si>
    <t xml:space="preserve">Conclusão / aplicação prática</t>
  </si>
  <si>
    <t xml:space="preserve">STF — RE 599.362 (Tema 177 RG)</t>
  </si>
  <si>
    <t xml:space="preserve">Repercussão Geral</t>
  </si>
  <si>
    <t xml:space="preserve">PIS/COFINS sobre atos cooperativos</t>
  </si>
  <si>
    <t xml:space="preserve">STF reconheceu que o ATO COOPERATIVO TÍPICO (entre cooperativa e cooperado) não constitui faturamento ou receita para fins de PIS/COFINS no regime cumulativo. Precedente forte.</t>
  </si>
  <si>
    <t xml:space="preserve">STJ — REsp 58.265/SP</t>
  </si>
  <si>
    <t xml:space="preserve">Segunda Turma</t>
  </si>
  <si>
    <t xml:space="preserve">Consagrou interpretação literal do art. 79 §único da Lei 5.764/71 — o ato cooperativo não é fato gerador de tributos comerciais.</t>
  </si>
  <si>
    <t xml:space="preserve">STJ — Tema Repetitivo 700</t>
  </si>
  <si>
    <t xml:space="preserve">Cooperativas e Cofins</t>
  </si>
  <si>
    <t xml:space="preserve">Discussão sobre operações com não-associados — confirmou que somente o ato com não-associado pode ser fato gerador.</t>
  </si>
  <si>
    <t xml:space="preserve">CARF — Acórdãos diversos</t>
  </si>
  <si>
    <t xml:space="preserve">Tese de exclusões PIS/COFINS de cooperativas</t>
  </si>
  <si>
    <t xml:space="preserve">CARF tem mantido que as cooperativas podem aplicar as exclusões da MP 2158-35/2001, desde que respeitada a dualidade de escrituração (ato cooperativo × não-cooperativo).</t>
  </si>
  <si>
    <t xml:space="preserve">Posição majoritária</t>
  </si>
  <si>
    <t xml:space="preserve">STF — ADI 7.018 (em andamento)</t>
  </si>
  <si>
    <t xml:space="preserve">Tributação cooperativas no IBS/CBS</t>
  </si>
  <si>
    <t xml:space="preserve">Discute a constitucionalidade do regime aplicado a cooperativas pela LC 214/2025. Acompanhar.</t>
  </si>
  <si>
    <t xml:space="preserve">Em andamento (atenção)</t>
  </si>
  <si>
    <t xml:space="preserve">9. ALERTAS E RISCOS — O QUE PODE FRAGILIZAR A TESE</t>
  </si>
  <si>
    <t xml:space="preserve">1) DUPLICIDADE DE ESCRITURAÇÃO: A cooperativa DEVE manter contabilidade separada para atos cooperativos e atos com não-associados (Lei 5.764/71 art. 87). Se misturar tudo, a Receita pode descaracterizar todo o benefício.
2) GENUÍNA ASSOCIAÇÃO: Os cooperados devem ser PRODUTORES REAIS — pessoa física rural com atividade comprovada (CAR + ITR + bloco de produtor). 'Cooperado de papel' = fraude tributária.
3) ESTATUTO E ATAS: O estatuto deve descrever claramente os fins sociais e o tipo de ato cooperativo praticado. Atas de assembleia devem comprovar deliberações coletivas.
4) PROPORCIONALIDADE OPERAÇÕES NÃO-COOPERATIVAS: Se mais de uma fração relevante do faturamento vier de não-associados, perde benefício total.
5) RECLASSIFICAÇÃO PELA RECEITA: A Receita Federal tem o poder de RECLASSIFICAR a operação se entender que houve simulação. Por isso a documentação contratual entre cooperativa e cooperado é crítica (contratos de fornecimento por safra, atas de aprovação, prestação de contas anual).
6) LC 214/2025 EM TRANSIÇÃO: Como o regime IBS/CBS está em transição (2026-2033), há incertezas regulamentares. O Decreto 12.955/2026 e a Resolução CGIBS 6/2026 trazem regras provisórias — reanalisar a cada semestre.
7) DOCUMENTAÇÃO AMBIENTAL (LENHA): Para o caso lenha, o INEMA/IBAMA exigem DOF/SISFLORA por carga. Sem isso, mesmo com tudo cooperativo certo, há autuação ambiental que arrasta a tributária.
8) AUDITORIA EXTERNA: Recomenda-se que cooperativas com faturamento &gt;R$ 10 mi/ano tenham auditoria contábil externa anual — fortalece a defesa em fiscalização.
RECOMENDAÇÃO: Antes de iniciar operações relevantes, obter PARECER JURÍDICO TRIBUTÁRIO específico de escritório especializado em cooperativismo (sugestões: Brasil Salomão e Matthes, Rolim Goulart Cardoso, Mattos Filho).</t>
  </si>
  <si>
    <t xml:space="preserve">PONTOS DE ATENÇÃO — DETALHAMENTO EXAUSTIVO ANTES DE OPERAR EM ESCALA</t>
  </si>
  <si>
    <t xml:space="preserve">PARTE 1 — CRONOGRAMA DA REFORMA TRIBUTÁRIA: O QUE ACONTECE EM CADA ANO</t>
  </si>
  <si>
    <t xml:space="preserve">BASE NORMATIVA: EC 132/2023 + LC 214/2025 (alterada pela LC 227/2026) + Decreto 12.955/2026 (regulamento da CBS, publicado em 30/abr/2026) + Resolução CGIBS 6/2026 (regulamento do IBS, publicada em 30/abr/2026) + Portaria Conjunta MF/CGIBS 7/2026 (disposições comuns). A transição vai de 1º/jan/2026 até 1º/jan/2033, em 3 fases. Hoje (maio/2026), estamos em FASE 1 — ANO-TESTE.</t>
  </si>
  <si>
    <t xml:space="preserve">Ano</t>
  </si>
  <si>
    <t xml:space="preserve">CBS (federal)</t>
  </si>
  <si>
    <t xml:space="preserve">IBS Estadual</t>
  </si>
  <si>
    <t xml:space="preserve">IBS Municipal</t>
  </si>
  <si>
    <t xml:space="preserve">PIS/COFINS</t>
  </si>
  <si>
    <t xml:space="preserve">ICMS / ISS</t>
  </si>
  <si>
    <t xml:space="preserve">IPI</t>
  </si>
  <si>
    <t xml:space="preserve">ANO-TESTE (ano corrente)</t>
  </si>
  <si>
    <t xml:space="preserve">0,9% simbólica. Recolhimento DISPENSADO se cumprida obrigação acessória — neutralidade total. NF deve destacar CBS+IBS com CST e cClassTrib.</t>
  </si>
  <si>
    <t xml:space="preserve">0,1% simbólica</t>
  </si>
  <si>
    <t xml:space="preserve">Não destacado em separado</t>
  </si>
  <si>
    <t xml:space="preserve">Plenamente vigentes — recolhimento normal</t>
  </si>
  <si>
    <t xml:space="preserve">Plenamente vigente</t>
  </si>
  <si>
    <t xml:space="preserve">Início efetivo CBS — extinção PIS/COFINS</t>
  </si>
  <si>
    <t xml:space="preserve">ALÍQUOTA CHEIA (estimada ~8,8% conforme art. 14 da LC 214/2025; calibrada para neutralidade)</t>
  </si>
  <si>
    <t xml:space="preserve">0,05%</t>
  </si>
  <si>
    <t xml:space="preserve">EXTINTOS em 1º/jan/2027</t>
  </si>
  <si>
    <t xml:space="preserve">Plenamente vigentes</t>
  </si>
  <si>
    <t xml:space="preserve">Reduzido a ZERO via Decreto/PL — só sobrevive em ZFM</t>
  </si>
  <si>
    <t xml:space="preserve">Consolidação CBS + Imposto Seletivo</t>
  </si>
  <si>
    <t xml:space="preserve">Alíquota cheia. Recolhimento normal.</t>
  </si>
  <si>
    <t xml:space="preserve">Já extintos</t>
  </si>
  <si>
    <t xml:space="preserve">Plenamente vigentes (último ano antes de redução)</t>
  </si>
  <si>
    <t xml:space="preserve">Zerado (salvo ZFM)</t>
  </si>
  <si>
    <t xml:space="preserve">Início da redução do ICMS/ISS (10% ao ano)</t>
  </si>
  <si>
    <t xml:space="preserve">Alíquota cheia</t>
  </si>
  <si>
    <t xml:space="preserve">0,3%</t>
  </si>
  <si>
    <t xml:space="preserve">REDUZIDOS 10% (ICMS e ISS pagam 90%)</t>
  </si>
  <si>
    <t xml:space="preserve">Zerado</t>
  </si>
  <si>
    <t xml:space="preserve">Redução acelerada ICMS/ISS</t>
  </si>
  <si>
    <t xml:space="preserve">0,6%</t>
  </si>
  <si>
    <t xml:space="preserve">REDUZIDOS 20% (pagam 80%)</t>
  </si>
  <si>
    <t xml:space="preserve">0,9%</t>
  </si>
  <si>
    <t xml:space="preserve">REDUZIDOS 30% (pagam 70%)</t>
  </si>
  <si>
    <t xml:space="preserve">Último ano de coexistência</t>
  </si>
  <si>
    <t xml:space="preserve">1,2%</t>
  </si>
  <si>
    <t xml:space="preserve">REDUZIDOS 40% (pagam 60%) — saldos credores ressarcidos em até 240 meses</t>
  </si>
  <si>
    <t xml:space="preserve">ICMS e ISS EXTINTOS — IBS pleno</t>
  </si>
  <si>
    <t xml:space="preserve">Alíquota cheia (~17,7-18,3% combinada)</t>
  </si>
  <si>
    <t xml:space="preserve">EXTINTOS em 1º/jan/2033 (art. 129 LC 214/2025)</t>
  </si>
  <si>
    <t xml:space="preserve">Zerado (só ZFM)</t>
  </si>
  <si>
    <t xml:space="preserve">ALÍQUOTA TOTAL: estimada ~26,5% (CBS + IBS combinados). LC 214/2025 art. 475 prevê AVALIAÇÃO QUINQUENAL: se a arrecadação superar o teto de neutralidade, as alíquotas serão reduzidas. Setores com alíquota reduzida (cesta básica, agro, saúde, educação, transporte público) e zero (cesta nacional, combustíveis em monofásico) são definidos por lei complementar.</t>
  </si>
  <si>
    <t xml:space="preserve">PARTE 2 — REGIME ESPECÍFICO DAS COOPERATIVAS NA REFORMA — ARTS. 271 E 272 DA LC 214/2025</t>
  </si>
  <si>
    <t xml:space="preserve">ESTA É A NORMA-CHAVE PARA A TESE DA BRAT. A LC 214/2025 trouxe um regime ESPECÍFICO E OPCIONAL para sociedades cooperativas. A opção é exercida pela cooperativa NO ANO-CALENDÁRIO ANTERIOR ao início da produção de efeitos (art. 271, §3º) — para vigorar em 2027, a cooperativa precisa OPTAR ATÉ DEZEMBRO/2026.</t>
  </si>
  <si>
    <t xml:space="preserve">Conteúdo</t>
  </si>
  <si>
    <t xml:space="preserve">Aplicação prática Brat</t>
  </si>
  <si>
    <t xml:space="preserve">Riscos / Atenção</t>
  </si>
  <si>
    <t xml:space="preserve">Art. 271, caput</t>
  </si>
  <si>
    <t xml:space="preserve">Sociedades cooperativas PODEM OPTAR por regime específico em que ficam REDUZIDAS A ZERO as alíquotas de IBS e CBS nas operações que especifica.</t>
  </si>
  <si>
    <t xml:space="preserve">Opção formal a ser feita pela Brat Cargas e Brat Agro até dezembro/2026 (vigência 2027). Estatuto e ata da assembleia precisam autorizar.</t>
  </si>
  <si>
    <t xml:space="preserve">Opção é IRRETRATÁVEL no ano-calendário (analisar antes de optar — em alguns casos pode ser desvantajoso).</t>
  </si>
  <si>
    <t xml:space="preserve">Art. 271, I</t>
  </si>
  <si>
    <t xml:space="preserve">Alíquota ZERO quando o ASSOCIADO fornece bem ou serviço à cooperativa de que participa.</t>
  </si>
  <si>
    <t xml:space="preserve">MOTORISTA cooperado entrega serviço de transporte para Brat Cargas = zero. PRODUTOR cooperado entrega lenha/soja para Brat Agro = zero.</t>
  </si>
  <si>
    <t xml:space="preserve">Pré-requisito: cooperado precisa ser ASSOCIADO REGULAR (vide Parte 4).</t>
  </si>
  <si>
    <t xml:space="preserve">Art. 271, II</t>
  </si>
  <si>
    <t xml:space="preserve">Alíquota ZERO quando a COOPERATIVA fornece bem ou serviço a ASSOCIADO sujeito ao regime regular do IBS e da CBS.</t>
  </si>
  <si>
    <t xml:space="preserve">Brat Agro fornece fertilizante ao cooperado produtor que é contribuinte = zero.</t>
  </si>
  <si>
    <t xml:space="preserve">ATENÇÃO: a Oleoplan NÃO é associada da Brat. A venda Brat → Oleoplan NÃO é alíquota zero. A economia vem por outra via (vide Parte 3).</t>
  </si>
  <si>
    <t xml:space="preserve">Art. 271, §1º, II — fim</t>
  </si>
  <si>
    <t xml:space="preserve">A alíquota zero do art. 271, II é CONDICIONADA À ANULAÇÃO DOS CRÉDITOS referentes ao bem fornecido.</t>
  </si>
  <si>
    <t xml:space="preserve">Se Brat Agro vender insumo para cooperado com alíquota zero, perde os créditos das compras anteriores daquele insumo.</t>
  </si>
  <si>
    <t xml:space="preserve">Faz a matemática SEMPRE: às vezes pagar IBS/CBS e manter os créditos compensa mais que zerar e perder créditos.</t>
  </si>
  <si>
    <t xml:space="preserve">Art. 272</t>
  </si>
  <si>
    <t xml:space="preserve">O ASSOCIADO sujeito ao regime regular pode TRANSFERIR à cooperativa os créditos das operações antecedentes às operações em que fornece bens/serviços, e os CRÉDITOS PRESUMIDOS, não se aplicando o art. 55 da LC.</t>
  </si>
  <si>
    <t xml:space="preserve">Cooperado produtor de soja transfere para Brat Agro o crédito de IBS/CBS dos defensivos que comprou. Brat usa esse crédito quando vender a soja para Oleoplan.</t>
  </si>
  <si>
    <t xml:space="preserve">Documentação rigorosa: precisa rastrear cada nota fiscal de insumo e vincular à entrega cooperada.</t>
  </si>
  <si>
    <t xml:space="preserve">Art. 138 + Anexo IX</t>
  </si>
  <si>
    <t xml:space="preserve">PRODUTOS AGROPECUÁRIOS (lista do Anexo IX) — alíquota REDUZIDA para parte da cesta agro.</t>
  </si>
  <si>
    <t xml:space="preserve">Soja, milho, fertilizantes, defensivos têm alíquota reduzida. Soma-se ao regime cooperativo via art. 168 §9º.</t>
  </si>
  <si>
    <t xml:space="preserve">Alíquotas precisam ser confirmadas a cada ano — Senado pode reajustar.</t>
  </si>
  <si>
    <t xml:space="preserve">Art. 168, §9º</t>
  </si>
  <si>
    <t xml:space="preserve">Cooperativas que recebam bens/serviços de associados NÃO CONTRIBUINTES têm direito a CRÉDITO PRESUMIDO do IBS/CBS, desde que (i) NÃO sejam optantes do Simples Nacional, OU (ii) tenham aderido ao regime específico do art. 271.</t>
  </si>
  <si>
    <t xml:space="preserve">Brat Agro recebe lenha/soja de produtor pessoa física rural (não-contribuinte de IBS/CBS) → ganha CRÉDITO PRESUMIDO de IBS/CBS, mesmo o produtor não tendo recolhido nada.</t>
  </si>
  <si>
    <t xml:space="preserve">ESTA É A ALAVANCA-MÃE: o crédito presumido transforma o produtor não-contribuinte numa fonte de crédito tributário. Vale ouro.</t>
  </si>
  <si>
    <t xml:space="preserve">Art. 41</t>
  </si>
  <si>
    <t xml:space="preserve">INDEPENDENTEMENTE da opção pelo regime específico, NÃO HAVERÁ INCIDÊNCIA de IBS e CBS sobre operações entre cooperativas e seus associados que se enquadrem nas hipóteses tradicionais de não-mercantilidade do ato cooperativo.</t>
  </si>
  <si>
    <t xml:space="preserve">Confirma que a estrutura tradicional do art. 79 da Lei 5.764/71 PERMANECE no novo regime — o legislador positivou a tese da não-mercantilidade.</t>
  </si>
  <si>
    <t xml:space="preserve">NÃO substitui o art. 271 — pode ser cumulativo a depender da operação. Análise caso a caso.</t>
  </si>
  <si>
    <t xml:space="preserve">Art. 21, IV</t>
  </si>
  <si>
    <t xml:space="preserve">Cooperativas podem ter dispensa parcial conforme regulamentação específica de seu setor econômico.</t>
  </si>
  <si>
    <t xml:space="preserve">Cooperativas agropecuárias podem ter regimes setoriais aplicáveis em paralelo ao art. 271.</t>
  </si>
  <si>
    <t xml:space="preserve">Cooperativas agropecuárias têm 3 caminhos: regime regular, regime cooperativo art. 271, regime setorial agro art. 138. Avaliar qual otimiza.</t>
  </si>
  <si>
    <t xml:space="preserve">OPINIÃO TÉCNICA SOBRE A OPÇÃO: Para a Brat Cargas (cooperativa de transporte), a opção pelo regime do art. 271 é praticamente sempre vantajosa. Para a Brat Agro (cooperativa agropecuária), a decisão é mais delicada: se o crédito presumido do art. 168, §9º for relevante (produtores não-contribuintes), pode valer mais a pena MANTER o regime regular e capturar o crédito presumido, pois o regime do art. 271 ZERA ALÍQUOTA mas obriga ANULAR créditos. Recomenda-se rodar a matemática nas duas hipóteses ANTES de decidir.</t>
  </si>
  <si>
    <t xml:space="preserve">PARTE 3 — DUPLICIDADE DE ESCRITURAÇÃO CONTÁBIL: COMO FAZER E POR QUE É CRÍTICO</t>
  </si>
  <si>
    <t xml:space="preserve">BASE NORMATIVA: Lei 5.764/71 art. 87 (FATES) + ITG 2004 (CFC) + NBC TE - Entidade Cooperativa + PN CST 73/75 + IN RFB 2.121/2022. Escrituração SEPARADA de atos cooperativos e atos com não-associados não é opcional — é OBRIGAÇÃO LEGAL. Se descumprida, a cooperativa perde TODOS os benefícios fiscais e é tratada como sociedade empresária comum.</t>
  </si>
  <si>
    <t xml:space="preserve">Regra</t>
  </si>
  <si>
    <t xml:space="preserve">Lei/Norma</t>
  </si>
  <si>
    <t xml:space="preserve">Como operacionalizar</t>
  </si>
  <si>
    <t xml:space="preserve">Risco se descumprir</t>
  </si>
  <si>
    <t xml:space="preserve">Segregação obrigatória</t>
  </si>
  <si>
    <t xml:space="preserve">Receitas, custos, despesas e encargos devem ser registrados SEPARADAMENTE conforme decorram de ato cooperativo (com associado) ou ato não-cooperativo (com terceiro/Oleoplan).</t>
  </si>
  <si>
    <t xml:space="preserve">Lei 5.764/71 art. 87; ITG 2004 §6; NBC TE §6</t>
  </si>
  <si>
    <t xml:space="preserve">Plano de Contas com 'centros de resultado': (a) Atos Cooperativos, (b) Atos Não-Cooperativos. ERP precisa permitir essa marcação por nota fiscal e por movimento.</t>
  </si>
  <si>
    <t xml:space="preserve">Receita reclassifica TUDO como tributável — perde isenção IRPJ/CSLL, perde exclusões PIS/COFINS, multa de 75-150%.</t>
  </si>
  <si>
    <t xml:space="preserve">Terminologia distinta</t>
  </si>
  <si>
    <t xml:space="preserve">No ato cooperativo, são INGRESSOS (não 'receitas') e DISPÊNDIOS (não 'custos/despesas'). No ato não-cooperativo, sim, são receitas e custos/despesas.</t>
  </si>
  <si>
    <t xml:space="preserve">ITG 2004 §5; NBC TE §1.4</t>
  </si>
  <si>
    <t xml:space="preserve">Padronizar nomenclatura no plano de contas e relatórios gerenciais.</t>
  </si>
  <si>
    <t xml:space="preserve">Confusão na escrituração que pode ser interpretada como simulação.</t>
  </si>
  <si>
    <t xml:space="preserve">Demonstração de Sobras ou Perdas</t>
  </si>
  <si>
    <t xml:space="preserve">A DSP precisa apresentar SEPARADAMENTE o resultado dos atos cooperativos e dos atos não-cooperativos.</t>
  </si>
  <si>
    <t xml:space="preserve">Lei 5.764/71 art. 44; ITG 2004 §6</t>
  </si>
  <si>
    <t xml:space="preserve">Modelo de DSP em duas colunas. Auditor externo deve validar anualmente.</t>
  </si>
  <si>
    <t xml:space="preserve">Demonstração imprópria pode ser glosada — Receita pode questionar a apuração e cobrar tributos retroativamente.</t>
  </si>
  <si>
    <t xml:space="preserve">Rateio de despesas indiretas</t>
  </si>
  <si>
    <t xml:space="preserve">Gastos indiretos (administrativos, gerais) devem ser RATEADOS proporcionalmente entre atos cooperativos e não-cooperativos.</t>
  </si>
  <si>
    <t xml:space="preserve">ITG 2004 §8</t>
  </si>
  <si>
    <t xml:space="preserve">Critério: proporção do volume bruto. Documentar em política contábil interna.</t>
  </si>
  <si>
    <t xml:space="preserve">Rateio inadequado é a porta de entrada de autuações — Receita Federal historicamente questiona o critério.</t>
  </si>
  <si>
    <t xml:space="preserve">Repasse aos cooperados</t>
  </si>
  <si>
    <t xml:space="preserve">Valor repassado em ato cooperativo registra-se no PASSIVO (conta 'Repasses a cooperados') em contrapartida de 'Deduções dos Ingressos'. NÃO é despesa.</t>
  </si>
  <si>
    <t xml:space="preserve">ITG 2004 §7</t>
  </si>
  <si>
    <t xml:space="preserve">Conta específica separada de 'Despesas com Pessoal' ou 'Despesas Administrativas'.</t>
  </si>
  <si>
    <t xml:space="preserve">Confundir repasse com salário/comissão pode gerar (i) vínculo de emprego, (ii) cobrança INSS Patronal, (iii) descaracterização.</t>
  </si>
  <si>
    <t xml:space="preserve">FATES</t>
  </si>
  <si>
    <t xml:space="preserve">100% do RESULTADO POSITIVO do ato não-cooperativo deve ser destinado ao FATES — não pode ser distribuído aos cooperados.</t>
  </si>
  <si>
    <t xml:space="preserve">Lei 5.764/71 art. 87 e art. 28, II</t>
  </si>
  <si>
    <t xml:space="preserve">Ao final do exercício, transferir saldo positivo do não-cooperado para Reserva FATES, com aprovação em assembleia.</t>
  </si>
  <si>
    <t xml:space="preserve">Distribuir esse resultado entre cooperados é fraude grave — descaracteriza a cooperativa e gera responsabilização pessoal dos administradores.</t>
  </si>
  <si>
    <t xml:space="preserve">ECF</t>
  </si>
  <si>
    <t xml:space="preserve">Cooperativa, mesmo só com atos cooperativos, é OBRIGADA a entregar a ECF anualmente.</t>
  </si>
  <si>
    <t xml:space="preserve">IN RFB 2.004/2021 e atualizações</t>
  </si>
  <si>
    <t xml:space="preserve">ECF entregue até último dia útil de julho do ano seguinte. Profissional contábil precisa conhecer Bloco T e registros específicos.</t>
  </si>
  <si>
    <t xml:space="preserve">Multa por não entrega ou erro: até R$ 5.000,00/mês + presunção de irregularidade.</t>
  </si>
  <si>
    <t xml:space="preserve">EFD-Contribuições + EFD-Reinf</t>
  </si>
  <si>
    <t xml:space="preserve">Cooperativa entrega EFD-Contribuições demonstrando as exclusões da MP 2158-35/2001 art. 15.</t>
  </si>
  <si>
    <t xml:space="preserve">IN RFB 1.252/2012 e atualizações</t>
  </si>
  <si>
    <t xml:space="preserve">Códigos específicos para 'exclusões de cooperativas' devem ser usados no SPED. Atualizar ERP fiscal.</t>
  </si>
  <si>
    <t xml:space="preserve">Erro nessa marcação leva à reclassificação automática pela RFB e cobrança de PIS/COFINS sobre toda a base.</t>
  </si>
  <si>
    <t xml:space="preserve">Auditoria contábil externa</t>
  </si>
  <si>
    <t xml:space="preserve">Lei 5.764/71 art. 112 — cooperativas com receita relevante são obrigadas a auditoria independente.</t>
  </si>
  <si>
    <t xml:space="preserve">Lei 5.764/71 art. 112; LC 130/2009 (cooperativas de crédito)</t>
  </si>
  <si>
    <t xml:space="preserve">Contratar auditor independente (CRC + CVM) com experiência em cooperativismo.</t>
  </si>
  <si>
    <t xml:space="preserve">Sem auditoria: as DFs perdem fé pública, dificultam comprovação de boa-fé em fiscalização.</t>
  </si>
  <si>
    <t xml:space="preserve">PARTE 4 — COOPERADO REAL × COOPERADO DE PAPEL: COMO COMPROVAR A GENUINIDADE</t>
  </si>
  <si>
    <t xml:space="preserve">BASE NORMATIVA: Lei 5.764/71 + Lei 12.690/2012 (cooperativas de trabalho) + Lei 11.326/2006 (agricultura familiar) + Lei 12.651/2012 (CAR) + Súmula 281 TCU + Súmula 331 TST + jurisprudência consolidada do TST e CARF. O 'cooperado de papel' é a maior porta de descaracterização. O PRINCÍPIO DA PRIMAZIA DA REALIDADE (art. 9º CLT) prevalece sobre qualquer documento.</t>
  </si>
  <si>
    <t xml:space="preserve">4.1 — COOPERADO PRODUTOR (Brat Agro): DOCUMENTAÇÃO MÍNIMA OBRIGATÓRIA</t>
  </si>
  <si>
    <t xml:space="preserve">Documento</t>
  </si>
  <si>
    <t xml:space="preserve">Finalidade</t>
  </si>
  <si>
    <t xml:space="preserve">Onde obter / Validade</t>
  </si>
  <si>
    <t xml:space="preserve">Risco sem o documento</t>
  </si>
  <si>
    <t xml:space="preserve">CPF + RG/CNH</t>
  </si>
  <si>
    <t xml:space="preserve">Identificar o produtor pessoa física</t>
  </si>
  <si>
    <t xml:space="preserve">Arquivo da cooperativa — atualizar a cada 5 anos</t>
  </si>
  <si>
    <t xml:space="preserve">Sem identificação → cooperado não existe legalmente.</t>
  </si>
  <si>
    <t xml:space="preserve">ITR (último exercício)</t>
  </si>
  <si>
    <t xml:space="preserve">Comprovar propriedade/posse de imóvel rural produtivo</t>
  </si>
  <si>
    <t xml:space="preserve">Receita Federal — comprovante anual</t>
  </si>
  <si>
    <t xml:space="preserve">Sem ITR, presunção é de que o produtor não tem imóvel rural — fragiliza a tese.</t>
  </si>
  <si>
    <t xml:space="preserve">CCIR (INCRA)</t>
  </si>
  <si>
    <t xml:space="preserve">Comprovar dimensão e classificação do imóvel rural</t>
  </si>
  <si>
    <t xml:space="preserve">INCRA — emitido a cada 5 anos</t>
  </si>
  <si>
    <t xml:space="preserve">Permite verificar se o produtor é familiar (até 4 módulos fiscais), médio ou grande.</t>
  </si>
  <si>
    <t xml:space="preserve">CAR</t>
  </si>
  <si>
    <t xml:space="preserve">Comprovar regularidade ambiental — obrigatório Lei 12.651/2012 art. 29</t>
  </si>
  <si>
    <t xml:space="preserve">INEMA-BA / SiCAR — atualizar com geo da propriedade</t>
  </si>
  <si>
    <t xml:space="preserve">Sem CAR, INEMA pode embargar a operação. Lenha/soja pode ser apreendida.</t>
  </si>
  <si>
    <t xml:space="preserve">CAF (Cadastro Nacional da Agricultura Familiar)</t>
  </si>
  <si>
    <t xml:space="preserve">Comprovar enquadramento Pronaf</t>
  </si>
  <si>
    <t xml:space="preserve">Emater-BA, sindicato rural ou prefeitura — validade 2 anos</t>
  </si>
  <si>
    <t xml:space="preserve">Sem CAF não habilita Selo Biocombustível Social — perde alíquota R$ 0,00 PIS/COFINS.</t>
  </si>
  <si>
    <t xml:space="preserve">Bloco do Produtor Rural (PR)</t>
  </si>
  <si>
    <t xml:space="preserve">Inscrição estadual de produtor rural pessoa física na SEFAZ-BA</t>
  </si>
  <si>
    <t xml:space="preserve">SEFAZ-BA — emite NF-e Avulsa Rural</t>
  </si>
  <si>
    <t xml:space="preserve">Sem inscrição, vendas em volume são informais — Receita pode descaracterizar.</t>
  </si>
  <si>
    <t xml:space="preserve">DAP (em transição) ou nova CAF</t>
  </si>
  <si>
    <t xml:space="preserve">Equivalente legal anterior à CAF — válida durante transição (até 2027)</t>
  </si>
  <si>
    <t xml:space="preserve">Emater — quem tem DAP válida pode usar até vencimento</t>
  </si>
  <si>
    <t xml:space="preserve">Documento em transição — preferir CAF nova.</t>
  </si>
  <si>
    <t xml:space="preserve">Comprovante de produção (NF anteriores, contratos)</t>
  </si>
  <si>
    <t xml:space="preserve">Comprovar histórico produtivo</t>
  </si>
  <si>
    <t xml:space="preserve">Arquivos próprios do cooperado</t>
  </si>
  <si>
    <t xml:space="preserve">Cooperado sem histórico produtivo levanta suspeita de 'cooperado de papel'.</t>
  </si>
  <si>
    <t xml:space="preserve">Termo de Adesão + Quota-parte integralizada</t>
  </si>
  <si>
    <t xml:space="preserve">Comprovar vínculo associativo formal com a Brat Agro</t>
  </si>
  <si>
    <t xml:space="preserve">Documentação interna da cooperativa</t>
  </si>
  <si>
    <t xml:space="preserve">Sem adesão formal e quota-parte paga, não há associado — só cliente.</t>
  </si>
  <si>
    <t xml:space="preserve">Comprovação de presença em assembleias</t>
  </si>
  <si>
    <t xml:space="preserve">Comprovar participação democrática (princípio cooperativo)</t>
  </si>
  <si>
    <t xml:space="preserve">Lista de presença assinada</t>
  </si>
  <si>
    <t xml:space="preserve">Cooperado que nunca aparece em assembleia é forte indício de fraude.</t>
  </si>
  <si>
    <t xml:space="preserve">4.2 — COOPERADO MOTORISTA (Brat Cargas): DOCUMENTAÇÃO MÍNIMA OBRIGATÓRIA</t>
  </si>
  <si>
    <t xml:space="preserve">CNH categoria E + EAR</t>
  </si>
  <si>
    <t xml:space="preserve">Habilitação legal para conduzir carreta</t>
  </si>
  <si>
    <t xml:space="preserve">Detran-BA — renovar a cada 5 anos</t>
  </si>
  <si>
    <t xml:space="preserve">Sem CNH-E, motorista não pode conduzir carreta — operação ilegal.</t>
  </si>
  <si>
    <t xml:space="preserve">CRLV (placa branca PJ ou particular)</t>
  </si>
  <si>
    <t xml:space="preserve">Comprovar propriedade ou posse do veículo</t>
  </si>
  <si>
    <t xml:space="preserve">Detran-BA — anual</t>
  </si>
  <si>
    <t xml:space="preserve">Cooperado precisa ser dono ou ter posse documentada do caminhão.</t>
  </si>
  <si>
    <t xml:space="preserve">RNTRC ativo</t>
  </si>
  <si>
    <t xml:space="preserve">Habilitação ANTT para transporte de cargas</t>
  </si>
  <si>
    <t xml:space="preserve">ANTT — quinquenal</t>
  </si>
  <si>
    <t xml:space="preserve">Sem RNTRC, não pode emitir CT-e.</t>
  </si>
  <si>
    <t xml:space="preserve">Apólice RCTR-C + RCFV</t>
  </si>
  <si>
    <t xml:space="preserve">Cobertura de carga e danos a terceiros</t>
  </si>
  <si>
    <t xml:space="preserve">Seguradora habilitada — anual</t>
  </si>
  <si>
    <t xml:space="preserve">Sem seguro, em caso de acidente Brat Cargas pode ser responsabilizada solidariamente.</t>
  </si>
  <si>
    <t xml:space="preserve">MOPP</t>
  </si>
  <si>
    <t xml:space="preserve">Habilitação para transporte de químicos (biodiesel, metanol)</t>
  </si>
  <si>
    <t xml:space="preserve">Curso 50h + atualização — Senatran</t>
  </si>
  <si>
    <t xml:space="preserve">Sem MOPP, não pode transportar biodiesel/metanol — barreira para MVPs #3 e #5.</t>
  </si>
  <si>
    <t xml:space="preserve">Termo de Adesão + Quota-parte</t>
  </si>
  <si>
    <t xml:space="preserve">Vínculo associativo formal</t>
  </si>
  <si>
    <t xml:space="preserve">Cooperativa interna</t>
  </si>
  <si>
    <t xml:space="preserve">Sem adesão formal, motorista é prestador autônomo, não cooperado.</t>
  </si>
  <si>
    <t xml:space="preserve">Eleição em coordenação (Lei 12.690/2012 art. 7º)</t>
  </si>
  <si>
    <t xml:space="preserve">Cooperativa de trabalho deve ter coordenação eleita por mandato máximo de 1 ano. Cooperados que prestam serviços fora do estabelecimento devem participar.</t>
  </si>
  <si>
    <t xml:space="preserve">Ata de eleição em assembleia</t>
  </si>
  <si>
    <t xml:space="preserve">Não cumprimento gera presunção de intermediação de mão-de-obra subordinada (Lei 12.690/2012 art. 17, §2º).</t>
  </si>
  <si>
    <t xml:space="preserve">Comprovante de não-exclusividade</t>
  </si>
  <si>
    <t xml:space="preserve">Cooperado deve poder prestar serviço para outras tomadoras</t>
  </si>
  <si>
    <t xml:space="preserve">Cláusula no termo de adesão; histórico de operações para terceiros</t>
  </si>
  <si>
    <t xml:space="preserve">Exclusividade é o indicativo #1 de fraude — Súmula 331 TST.</t>
  </si>
  <si>
    <t xml:space="preserve">Participação em sobras/prejuízos</t>
  </si>
  <si>
    <t xml:space="preserve">Cooperado deve ter direito real a sobras (pró-rata)</t>
  </si>
  <si>
    <t xml:space="preserve">Estatuto + DSP anual</t>
  </si>
  <si>
    <t xml:space="preserve">Se cooperado só recebe valor fixo mensal sem sobras, é empregado disfarçado.</t>
  </si>
  <si>
    <t xml:space="preserve">Contribuição obrigatória ao INSS como contribuinte individual</t>
  </si>
  <si>
    <t xml:space="preserve">Lei 12.690/2012 art. 7º, IV — cooperado contribui 11% sobre retiradas</t>
  </si>
  <si>
    <t xml:space="preserve">GPS individual ou pela cooperativa</t>
  </si>
  <si>
    <t xml:space="preserve">Sem contribuição, fragiliza tese e abre brecha trabalhista.</t>
  </si>
  <si>
    <t xml:space="preserve">4.3 — INDÍCIOS DE 'COOPERFRAUDE' E SUAS CONSEQUÊNCIAS</t>
  </si>
  <si>
    <t xml:space="preserve">INDÍCIOS DE FRAUDE (qualquer um deles, isolado ou combinado, pode descaracterizar a cooperativa pelos princípios da PRIMAZIA DA REALIDADE — art. 9º CLT):
1) SUBORDINAÇÃO direta do cooperado ao tomador (Oleoplan dá ordens, fiscaliza horário, define rota sem autonomia);
2) PESSOALIDADE — só aquele cooperado específico pode prestar o serviço;
3) HABITUALIDADE/EXCLUSIVIDADE — cooperado presta serviço SOMENTE à mesma tomadora durante longo período;
4) RETRIBUIÇÃO FIXA — pagamento mensal sem variação proporcional ao trabalho efetivo;
5) NÃO PARTICIPAÇÃO em assembleias da cooperativa;
6) INEXISTÊNCIA de affectio societatis — cooperado não conhece os outros, não vota, não recebe sobras;
7) IMPOSIÇÃO da 'cooperativação' como condição para trabalhar;
8) AUSÊNCIA de coordenação eleita;
9) NÃO RECEBIMENTO de sobras por mais de 2 exercícios consecutivos;
10) CONTRATO de adesão padronizado sem real consentimento individual.
CONSEQUÊNCIAS DA DESCARACTERIZAÇÃO:
• Vínculo de emprego reconhecido (CLT) — cooperativa paga férias, 13º, FGTS retroativos por até 5 anos;
• Tomador (Oleoplan) responde SUBSIDIÁRIA ou SOLIDARIAMENTE pela dívida trabalhista (Súmula 331 TST + Súmula 281 TCU);
• Receita Federal cobra IRPJ + CSLL + PIS + COFINS retroativos com multa de 75-150% e juros Selic;
• Receita Estadual cobra ICMS retroativo sobre as 'vendas' antes tratadas como ato cooperativo;
• MPT pode ajuizar Ação Civil Pública e impor TAC com multa por trabalhador irregular;
• Administradores da cooperativa respondem PESSOALMENTE pelos débitos (CTN art. 135 III).</t>
  </si>
  <si>
    <t xml:space="preserve">PARTE 5 — DOCUMENTAÇÃO AMBIENTAL (LENHA): CRÍTICA E NÃO NEGOCIÁVEL</t>
  </si>
  <si>
    <t xml:space="preserve">A operação cooperativa de LENHA tem dimensão ambiental que se sobrepõe à tributária: SEM compliance ambiental, mesmo com tudo certo no aspecto tributário, a operação inteira pode ser embargada pelo INEMA-BA ou IBAMA, e a Oleoplan pode ser autuada por adquirir produto de origem ilegal (corresponsabilidade ambiental — Lei 9.605/1998 art. 70 e ss.; Decreto 6.514/2008 art. 47).</t>
  </si>
  <si>
    <t xml:space="preserve">Documento ambiental</t>
  </si>
  <si>
    <t xml:space="preserve">Para que serve</t>
  </si>
  <si>
    <t xml:space="preserve">Quem emite</t>
  </si>
  <si>
    <t xml:space="preserve">Validade</t>
  </si>
  <si>
    <t xml:space="preserve">Cadastro georreferenciado da propriedade rural — obrigatório Lei 12.651/2012</t>
  </si>
  <si>
    <t xml:space="preserve">Sistema SiCAR (federal/estadual)</t>
  </si>
  <si>
    <t xml:space="preserve">Validade contínua, atualizar a mudanças</t>
  </si>
  <si>
    <t xml:space="preserve">Sem CAR: imóvel é IRREGULAR. Lenha originada não pode circular.</t>
  </si>
  <si>
    <t xml:space="preserve">PMFS (Plano de Manejo Florestal Sustentável)</t>
  </si>
  <si>
    <t xml:space="preserve">Autorização para exploração florestal de espécies nativas</t>
  </si>
  <si>
    <t xml:space="preserve">INEMA-BA / IBAMA — análise técnica + ART</t>
  </si>
  <si>
    <t xml:space="preserve">10-25 anos com plano operacional anual</t>
  </si>
  <si>
    <t xml:space="preserve">Sem PMFS: corte de vegetação nativa é CRIME AMBIENTAL — Lei 9.605/98 art. 50; pena 1-3 anos + multa.</t>
  </si>
  <si>
    <t xml:space="preserve">Plano de Reposição Florestal Obrigatória</t>
  </si>
  <si>
    <t xml:space="preserve">Comprovar reposição em áreas exploradas</t>
  </si>
  <si>
    <t xml:space="preserve">INEMA — vinculado ao PMFS</t>
  </si>
  <si>
    <t xml:space="preserve">Anual</t>
  </si>
  <si>
    <t xml:space="preserve">Sem plano: PMFS pode ser suspenso, lenha apreendida.</t>
  </si>
  <si>
    <t xml:space="preserve">DOF (Documento de Origem Florestal)</t>
  </si>
  <si>
    <t xml:space="preserve">Documento eletrônico que acompanha cada carga</t>
  </si>
  <si>
    <t xml:space="preserve">SISFLORA (IBAMA) ou SisDOF estadual</t>
  </si>
  <si>
    <t xml:space="preserve">Por carga (cada CT-e tem que ter DOF)</t>
  </si>
  <si>
    <t xml:space="preserve">Sem DOF: lenha em trânsito é apreendida na barreira. Multa entre R$ 5.000-50.000 por carga.</t>
  </si>
  <si>
    <t xml:space="preserve">ART do Engenheiro Florestal</t>
  </si>
  <si>
    <t xml:space="preserve">Identifica o profissional responsável técnico</t>
  </si>
  <si>
    <t xml:space="preserve">CREA-BA — válida por projeto</t>
  </si>
  <si>
    <t xml:space="preserve">Por projeto</t>
  </si>
  <si>
    <t xml:space="preserve">Sem ART: PMFS pode ser invalidado.</t>
  </si>
  <si>
    <t xml:space="preserve">Licença de Operação (LO) florestal</t>
  </si>
  <si>
    <t xml:space="preserve">Em manejo intensivo ou eucalipto comercial em alguns casos</t>
  </si>
  <si>
    <t xml:space="preserve">INEMA-BA</t>
  </si>
  <si>
    <t xml:space="preserve">5 anos com renovação</t>
  </si>
  <si>
    <t xml:space="preserve">Sem LO em operação que exige: embargo.</t>
  </si>
  <si>
    <t xml:space="preserve">Comprovação de espécies (autorização para exóticas)</t>
  </si>
  <si>
    <t xml:space="preserve">Eucalipto plantio livre, mas transporte exige NF + DOF</t>
  </si>
  <si>
    <t xml:space="preserve">Receita estadual + IBAMA (DOF)</t>
  </si>
  <si>
    <t xml:space="preserve">Por carga</t>
  </si>
  <si>
    <t xml:space="preserve">Espécies nativas exigem autorização específica.</t>
  </si>
  <si>
    <t xml:space="preserve">CTF/APP</t>
  </si>
  <si>
    <t xml:space="preserve">Cadastro Técnico Federal de Atividades Potencialmente Poluidoras</t>
  </si>
  <si>
    <t xml:space="preserve">IBAMA — cadastro federal</t>
  </si>
  <si>
    <t xml:space="preserve">Validade contínua, declaração anual</t>
  </si>
  <si>
    <t xml:space="preserve">Sem CTF/APP: embargo, multa, descredenciamento.</t>
  </si>
  <si>
    <t xml:space="preserve">TFAR</t>
  </si>
  <si>
    <t xml:space="preserve">Taxa de Fiscalização Ambiental Anual</t>
  </si>
  <si>
    <t xml:space="preserve">IBAMA / Receita Federal</t>
  </si>
  <si>
    <t xml:space="preserve">Inadimplência leva a inscrição em dívida ativa.</t>
  </si>
  <si>
    <t xml:space="preserve">Certificação FSC ou Cerflor (opcional)</t>
  </si>
  <si>
    <t xml:space="preserve">Selos privados de manejo sustentável — diferencial ESG</t>
  </si>
  <si>
    <t xml:space="preserve">FSC Brasil ou Cerflor (Inmetro)</t>
  </si>
  <si>
    <t xml:space="preserve">5 anos com auditoria anual</t>
  </si>
  <si>
    <t xml:space="preserve">Sem certificação não é problema legal, mas valoriza o produto na auditoria ISCC/GMP+ da Oleoplan.</t>
  </si>
  <si>
    <t xml:space="preserve">FLUXO IDEAL DA LENHA COOPERATIVA:
(1) Produtor cooperado tem CAR + PMFS + ART do eng. florestal contratado pela Brat Agro;
(2) Brat Agro emite DOF para cada carga via SISFLORA, vinculada ao CT-e da Brat Cargas;
(3) Brat Agro emite NF-e cooperativa para a Oleoplan, com tudo rastreado;
(4) Oleoplan recebe e arquiva cópias para auditoria ISCC/GMP+ + ANP/RenovaBio (CBios exige rastreabilidade ambiental).
EFEITO COLATERAL POSITIVO: lenha certificada com origem rastreada é MAIS VALORIZADA — pode justificar prêmio de 5-10% no preço.</t>
  </si>
  <si>
    <t xml:space="preserve">PARTE 6 — RECLASSIFICAÇÃO PELA RECEITA FEDERAL: PRIMAZIA DA REALIDADE FISCAL</t>
  </si>
  <si>
    <t xml:space="preserve">BASE NORMATIVA: CTN art. 116 §único (norma anti-simulação) + art. 142 (lançamento de ofício) + Parecer Normativo CST 73/75 + IN RFB 2.121/2022. A Receita Federal pode RECLASSIFICAR a operação cooperativa para sociedade empresarial comum se entender que houve SIMULAÇÃO — ou seja, que a forma jurídica de cooperativa foi usada apenas para escapar de tributos, sem substância econômica real.
DEFESAS: comprovação documental robusta + governança real + assembleias + sobras distribuídas + segregação contábil rigorosa.</t>
  </si>
  <si>
    <t xml:space="preserve">Tipo de questionamento</t>
  </si>
  <si>
    <t xml:space="preserve">O que a Receita pode fazer</t>
  </si>
  <si>
    <t xml:space="preserve">Defesa preventiva</t>
  </si>
  <si>
    <t xml:space="preserve">Documentação chave</t>
  </si>
  <si>
    <t xml:space="preserve">Prazo prescricional</t>
  </si>
  <si>
    <t xml:space="preserve">Simulação — cooperativa de papel</t>
  </si>
  <si>
    <t xml:space="preserve">Reclassificar como sociedade empresária; cobrar IRPJ + CSLL + PIS + COFINS retroativos com multa 75-150%</t>
  </si>
  <si>
    <t xml:space="preserve">Manter assembleias frequentes (mín. 1/ano + extraordinárias); distribuir sobras anualmente; renovar quadro de cooperados</t>
  </si>
  <si>
    <t xml:space="preserve">Atas, listas de presença, demonstrativos de sobras, comprovantes de adesão</t>
  </si>
  <si>
    <t xml:space="preserve">5 anos do fato gerador (CTN art. 173)</t>
  </si>
  <si>
    <t xml:space="preserve">Atos não-cooperativos disfarçados como cooperativos</t>
  </si>
  <si>
    <t xml:space="preserve">Cobrar tributos sobre as operações específicas mal classificadas</t>
  </si>
  <si>
    <t xml:space="preserve">Escrituração separada rigorosa; pareceres jurídicos preventivos arquivados</t>
  </si>
  <si>
    <t xml:space="preserve">ECF, EFD-Contribuições com codificação correta, política contábil interna</t>
  </si>
  <si>
    <t xml:space="preserve">5 anos</t>
  </si>
  <si>
    <t xml:space="preserve">Excesso de operações com não-associados</t>
  </si>
  <si>
    <t xml:space="preserve">Lei diz que cooperativa pode operar com não-associados em complemento — se for o principal, descaracteriza</t>
  </si>
  <si>
    <t xml:space="preserve">Manter operações com associados sempre majoritárias; documentar fluxo</t>
  </si>
  <si>
    <t xml:space="preserve">DSP separada, relatórios gerenciais por modalidade</t>
  </si>
  <si>
    <t xml:space="preserve">Distribuição irregular de sobras</t>
  </si>
  <si>
    <t xml:space="preserve">Reclassificar 'sobras' como pró-labore tributável; cobrar INSS Patronal + IRPF retroativo</t>
  </si>
  <si>
    <t xml:space="preserve">Calcular sobras EXATAMENTE proporcionais à participação do cooperado nas operações; nunca 'igualmente'</t>
  </si>
  <si>
    <t xml:space="preserve">Memória de cálculo detalhada por cooperado por exercício</t>
  </si>
  <si>
    <t xml:space="preserve">5 anos (tributário)</t>
  </si>
  <si>
    <t xml:space="preserve">Não destinação obrigatória ao FATES</t>
  </si>
  <si>
    <t xml:space="preserve">Cobrar IRPJ + CSLL sobre os valores que deveriam ter sido destinados ao FATES</t>
  </si>
  <si>
    <t xml:space="preserve">Política rígida de destinação automática; assembleia anual aprova</t>
  </si>
  <si>
    <t xml:space="preserve">Atas de aprovação do FATES + lançamentos contábeis</t>
  </si>
  <si>
    <t xml:space="preserve">Cooperativa fictícia (intermediação de M.O.)</t>
  </si>
  <si>
    <t xml:space="preserve">MPT ajuíza ACP; condenação por todas as obrigações trabalhistas; tomador responde subsidiariamente</t>
  </si>
  <si>
    <t xml:space="preserve">Comprovar autonomia, autogestão, ausência de subordinação</t>
  </si>
  <si>
    <t xml:space="preserve">Provas de autonomia: cooperado pode ter outras tomadoras, controla agenda, decide aceitar fretes</t>
  </si>
  <si>
    <t xml:space="preserve">2 anos após o fim do contrato + 5 anos retroativos</t>
  </si>
  <si>
    <t xml:space="preserve">Cooperativa que excede objeto social do estatuto</t>
  </si>
  <si>
    <t xml:space="preserve">Operação fora do objeto pode ser tributada normalmente</t>
  </si>
  <si>
    <t xml:space="preserve">Estatuto bem redigido cobrindo TODAS as operações pretendidas</t>
  </si>
  <si>
    <t xml:space="preserve">Estatuto registrado + atas de alteração</t>
  </si>
  <si>
    <t xml:space="preserve">Falta de governança (sem assembleias, sem coordenação eleita)</t>
  </si>
  <si>
    <t xml:space="preserve">Descaracterização total da cooperativa de trabalho (Lei 12.690/2012 art. 17, §2º)</t>
  </si>
  <si>
    <t xml:space="preserve">Cumprir mandatos, eleições, prestação de contas, fiscalização interna</t>
  </si>
  <si>
    <t xml:space="preserve">Atas de assembleia, mandatos com data, livros próprios</t>
  </si>
  <si>
    <t xml:space="preserve">Indeterminado</t>
  </si>
  <si>
    <t xml:space="preserve">PARTE 7 — CHECKLIST DE PARECER JURÍDICO PRÉ-OPERAÇÃO E ESCRITÓRIOS RECOMENDADOS</t>
  </si>
  <si>
    <t xml:space="preserve">Antes de assinar contrato-quadro com a Oleoplan ou de iniciar operação relevante (acima de R$ 5 mi/ano), recomenda-se PARECER JURÍDICO TRIBUTÁRIO completo cobrindo os 7 pontos abaixo. Custo estimado: R$ 25.000 a R$ 80.000. Prazo: 30-60 dias.</t>
  </si>
  <si>
    <t xml:space="preserve">Tema do parecer</t>
  </si>
  <si>
    <t xml:space="preserve">Pergunta-chave</t>
  </si>
  <si>
    <t xml:space="preserve">Entrega esperada</t>
  </si>
  <si>
    <t xml:space="preserve">Opção pelo regime do art. 271 LC 214/2025</t>
  </si>
  <si>
    <t xml:space="preserve">Para a Brat Cargas e Brat Agro especificamente, a opção pelo regime cooperativo é vantajosa em 2027? Quais operações ficam zeradas, quais créditos se perdem, qual o saldo líquido?</t>
  </si>
  <si>
    <t xml:space="preserve">Memorial de cálculo + recomendação fundamentada por cooperativa</t>
  </si>
  <si>
    <t xml:space="preserve">Estrutura societária e estatuto</t>
  </si>
  <si>
    <t xml:space="preserve">O estatuto atual cobre todas as operações pretendidas com a Oleoplan? Há cláusulas que podem ser questionadas?</t>
  </si>
  <si>
    <t xml:space="preserve">Revisão e proposta de alteração do estatuto</t>
  </si>
  <si>
    <t xml:space="preserve">Compliance tributário das operações com Oleoplan</t>
  </si>
  <si>
    <t xml:space="preserve">Cada uma das 10 oportunidades do MVP tem qual tributação efetiva ANTES e DEPOIS do regime cooperativo?</t>
  </si>
  <si>
    <t xml:space="preserve">Tabela tributo-a-tributo, operação-a-operação</t>
  </si>
  <si>
    <t xml:space="preserve">Risco trabalhista (cooperfraude)</t>
  </si>
  <si>
    <t xml:space="preserve">Os motoristas cooperados (Cargas) e produtores cooperados (Agro) atendem aos requisitos da Lei 12.690/2012 e da jurisprudência do TST? Risco de descaracterização?</t>
  </si>
  <si>
    <t xml:space="preserve">Diagnóstico de risco com semáforo verde/amarelo/vermelho por categoria</t>
  </si>
  <si>
    <t xml:space="preserve">Compliance ambiental (lenha)</t>
  </si>
  <si>
    <t xml:space="preserve">A operação cooperativa de lenha está blindada no quesito ambiental? CAR, PMFS, DOF, ART organizados?</t>
  </si>
  <si>
    <t xml:space="preserve">Checklist de regularização + plano de ação</t>
  </si>
  <si>
    <t xml:space="preserve">Selo Biocombustível Social</t>
  </si>
  <si>
    <t xml:space="preserve">A Brat Agro pode ser habilitada no SIB-MDA? Quais cooperados são elegíveis Pronaf? Volume mínimo?</t>
  </si>
  <si>
    <t xml:space="preserve">Análise de elegibilidade + roadmap de habilitação</t>
  </si>
  <si>
    <t xml:space="preserve">Formato contratual com a Oleoplan</t>
  </si>
  <si>
    <t xml:space="preserve">Como redigir o contrato Brat × Oleoplan para minimizar riscos? Cláusulas tributárias, garantias, ambientais, indenização.</t>
  </si>
  <si>
    <t xml:space="preserve">Minuta de contrato-quadro com cláusulas-modelo</t>
  </si>
  <si>
    <t xml:space="preserve">ESCRITÓRIOS RECOMENDADOS POR ESPECIALIDADE</t>
  </si>
  <si>
    <t xml:space="preserve">Especialidade</t>
  </si>
  <si>
    <t xml:space="preserve">Escritório</t>
  </si>
  <si>
    <t xml:space="preserve">Justificativa</t>
  </si>
  <si>
    <t xml:space="preserve">Faixa de honorários (estimada)</t>
  </si>
  <si>
    <t xml:space="preserve">Cooperativismo + IBS/CBS</t>
  </si>
  <si>
    <t xml:space="preserve">Brasil Salomão e Matthes Advocacia (SP/RP) — referência nacional em ato cooperativo; participaram de consultas públicas da LC 214/2025</t>
  </si>
  <si>
    <t xml:space="preserve">Pareceres pela maioria das centrais cooperativas brasileiras</t>
  </si>
  <si>
    <t xml:space="preserve">R$ 45-80k por parecer completo</t>
  </si>
  <si>
    <t xml:space="preserve">Tributário-rural agro</t>
  </si>
  <si>
    <t xml:space="preserve">Rolim Goulart Cardoso Advogados (BH/SP) — referência em tributação do agronegócio e cooperativismo rural</t>
  </si>
  <si>
    <t xml:space="preserve">Atende grandes cooperativas agropecuárias</t>
  </si>
  <si>
    <t xml:space="preserve">R$ 35-70k</t>
  </si>
  <si>
    <t xml:space="preserve">Tributário corporativo geral</t>
  </si>
  <si>
    <t xml:space="preserve">Mattos Filho Advogados (SP) — competência geral em IBS/CBS e reforma tributária</t>
  </si>
  <si>
    <t xml:space="preserve">Time grande, cobertura nacional</t>
  </si>
  <si>
    <t xml:space="preserve">R$ 60-150k (mais caro)</t>
  </si>
  <si>
    <t xml:space="preserve">Cooperativismo BA específico</t>
  </si>
  <si>
    <t xml:space="preserve">OCB-BA / Sescoop-BA — orientação institucional gratuita ou parceiros credenciados em Salvador</t>
  </si>
  <si>
    <t xml:space="preserve">Referência local + custo zero/baixo para diagnóstico inicial</t>
  </si>
  <si>
    <t xml:space="preserve">Gratuito ou simbólico</t>
  </si>
  <si>
    <t xml:space="preserve">Trabalhista + cooperfraude</t>
  </si>
  <si>
    <t xml:space="preserve">Pinheiro Neto ou Mattos Filho (SP) ou Maciel Auad (Salvador)</t>
  </si>
  <si>
    <t xml:space="preserve">Defesa preventiva contra reclamatórias trabalhistas</t>
  </si>
  <si>
    <t xml:space="preserve">R$ 25-60k para parecer + revisão de estatutos</t>
  </si>
  <si>
    <t xml:space="preserve">Ambiental florestal</t>
  </si>
  <si>
    <t xml:space="preserve">Demarest Advogados (SP/Brasília) ou escritórios Biolaw especializados</t>
  </si>
  <si>
    <t xml:space="preserve">Compliance PMFS, CAR, DOF para grande volume</t>
  </si>
  <si>
    <t xml:space="preserve">R$ 20-50k</t>
  </si>
  <si>
    <t xml:space="preserve">PARTE 8 — RESUMO EXECUTIVO: SEMÁFORO DE RISCO E MITIGADORES</t>
  </si>
  <si>
    <t xml:space="preserve">Risco</t>
  </si>
  <si>
    <t xml:space="preserve">Probabilidade</t>
  </si>
  <si>
    <t xml:space="preserve">Impacto financeiro</t>
  </si>
  <si>
    <t xml:space="preserve">Severidade</t>
  </si>
  <si>
    <t xml:space="preserve">Mitigador-chave</t>
  </si>
  <si>
    <t xml:space="preserve">Custo do mitigador</t>
  </si>
  <si>
    <t xml:space="preserve">LC 214/2025 — opção mal calibrada (perde créditos sem ganhar zero)</t>
  </si>
  <si>
    <t xml:space="preserve">Média</t>
  </si>
  <si>
    <t xml:space="preserve">R$ 200k-2 mi/ano</t>
  </si>
  <si>
    <t xml:space="preserve">Memorial de cálculo prévio antes de optar</t>
  </si>
  <si>
    <t xml:space="preserve">R$ 15-30k (parecer)</t>
  </si>
  <si>
    <t xml:space="preserve">Cooperfraude — vínculo de emprego em Brat Cargas</t>
  </si>
  <si>
    <t xml:space="preserve">Alta sem estrutura</t>
  </si>
  <si>
    <t xml:space="preserve">R$ 50-300k por motorista</t>
  </si>
  <si>
    <t xml:space="preserve">🔴 ALTA</t>
  </si>
  <si>
    <t xml:space="preserve">Estruturar autonomia: coordenação eleita, não-exclusividade, sobras reais, INSS individual</t>
  </si>
  <si>
    <t xml:space="preserve">R$ 80-150k (inicial) + R$ 30k/ano governança</t>
  </si>
  <si>
    <t xml:space="preserve">120 dias</t>
  </si>
  <si>
    <t xml:space="preserve">Cooperado de papel — produtores irreais em Brat Agro</t>
  </si>
  <si>
    <t xml:space="preserve">Descaracterização total, R$ 1-10 mi</t>
  </si>
  <si>
    <t xml:space="preserve">ITR + CAR + bloco produtor + presença em assembleias + histórico produtivo</t>
  </si>
  <si>
    <t xml:space="preserve">R$ 5-15k por cooperado (inicial)</t>
  </si>
  <si>
    <t xml:space="preserve">60-90 dias por hub</t>
  </si>
  <si>
    <t xml:space="preserve">Documentação ambiental falha (lenha apreendida)</t>
  </si>
  <si>
    <t xml:space="preserve">R$ 5-50k por carga + suspensão da operação</t>
  </si>
  <si>
    <t xml:space="preserve">🔴 CRÍTICA</t>
  </si>
  <si>
    <t xml:space="preserve">PMFS + CAR + DOF + ART de eng. florestal</t>
  </si>
  <si>
    <t xml:space="preserve">R$ 80-120k (inicial) + R$ 60k/ano operação</t>
  </si>
  <si>
    <t xml:space="preserve">Escrituração contábil sem segregação adequada</t>
  </si>
  <si>
    <t xml:space="preserve">Média (comum em coop. nova)</t>
  </si>
  <si>
    <t xml:space="preserve">R$ 1-5 mi (multa 75-150% sobre tributo)</t>
  </si>
  <si>
    <t xml:space="preserve">ERP cooperativo + auditor externo + política contábil + treinamento</t>
  </si>
  <si>
    <t xml:space="preserve">R$ 40-80k (impl.) + R$ 50k/ano auditoria</t>
  </si>
  <si>
    <t xml:space="preserve">Reforma Tributária (regulamentos novos a cada semestre)</t>
  </si>
  <si>
    <t xml:space="preserve">Permanente</t>
  </si>
  <si>
    <t xml:space="preserve">R$ 100k-1 mi (custo de adaptação contínua)</t>
  </si>
  <si>
    <t xml:space="preserve">Acompanhamento contínuo + advogado tributário em retainer</t>
  </si>
  <si>
    <t xml:space="preserve">R$ 8-15k/mês de retainer</t>
  </si>
  <si>
    <t xml:space="preserve">Demora na opção do regime do art. 271 (vencimento dez/2026)</t>
  </si>
  <si>
    <t xml:space="preserve">Perde regime para 2027</t>
  </si>
  <si>
    <t xml:space="preserve">Decisão até NOV/2026 com parecer pronto</t>
  </si>
  <si>
    <t xml:space="preserve">Já incluído no parecer</t>
  </si>
  <si>
    <t xml:space="preserve">Até nov/2026</t>
  </si>
  <si>
    <t xml:space="preserve">Falta de auditoria externa (&gt;R$ 4 mi receita)</t>
  </si>
  <si>
    <t xml:space="preserve">Alta</t>
  </si>
  <si>
    <t xml:space="preserve">Atos questionáveis pela Receita; perda de fé pública das DFs</t>
  </si>
  <si>
    <t xml:space="preserve">Auditor independente PJ inscrito no CRC com experiência em coop.</t>
  </si>
  <si>
    <t xml:space="preserve">R$ 30-80k/ano</t>
  </si>
  <si>
    <t xml:space="preserve">Distribuição inadequada das sobras (cooperados achando que é salário)</t>
  </si>
  <si>
    <t xml:space="preserve">Alta nos primeiros 12 meses</t>
  </si>
  <si>
    <t xml:space="preserve">Reclassificação como pró-labore — INSS + IRPF retroativos</t>
  </si>
  <si>
    <t xml:space="preserve">Política de distribuição proporcional escrita + treinamento</t>
  </si>
  <si>
    <t xml:space="preserve">R$ 5-10k (consultoria + comunicação)</t>
  </si>
  <si>
    <t xml:space="preserve">Responsabilidade subsidiária da Oleoplan por dívida da Brat</t>
  </si>
  <si>
    <t xml:space="preserve">Possível se algo der errado em (2)</t>
  </si>
  <si>
    <t xml:space="preserve">R$ 100k-10 mi</t>
  </si>
  <si>
    <t xml:space="preserve">🔴 ALTA p/ Oleoplan</t>
  </si>
  <si>
    <t xml:space="preserve">Compliance robusto + apresentar à Oleoplan as evidências de regularidade</t>
  </si>
  <si>
    <t xml:space="preserve">Já coberto pelos outros mitigadores</t>
  </si>
  <si>
    <t xml:space="preserve">Contínuo</t>
  </si>
  <si>
    <t xml:space="preserve">INVESTIMENTO TOTAL EM MITIGAÇÃO DE RISCOS (1º ano): R$ 350-700 mil para estruturação completa + R$ 200-350 mil/ano de manutenção da governança. Comparado ao potencial de R$ 1,8-2,8 milhões/ano de margem cooperativa nos 10 MVPs (vide aba 8), ROI superior a 3x mesmo no cenário pessimista. Desconsiderar essa estruturação é receita certa para problema. ESTRUTURE PRIMEIRO, ESCALE DEPOIS.</t>
  </si>
  <si>
    <t xml:space="preserve">PARTE 9 — CALENDÁRIO PRÁTICO 2026-2028 PARA A BRAT</t>
  </si>
  <si>
    <t xml:space="preserve">Trimestre</t>
  </si>
  <si>
    <t xml:space="preserve">Marco LC 214/2025</t>
  </si>
  <si>
    <t xml:space="preserve">Ação obrigatória Brat</t>
  </si>
  <si>
    <t xml:space="preserve">Custo estimado</t>
  </si>
  <si>
    <t xml:space="preserve">2T 2026 (atual)</t>
  </si>
  <si>
    <t xml:space="preserve">Ano-Teste em curso. NF-e já obrigatoriamente destacam CBS+IBS com CST e cClassTrib (mesmo simbólicos).</t>
  </si>
  <si>
    <t xml:space="preserve">Atualizar ERP fiscal das Brats; treinar equipe contábil; iniciar estruturação dos cooperados (CAF, ITR, CAR)</t>
  </si>
  <si>
    <t xml:space="preserve">TI + Controladoria</t>
  </si>
  <si>
    <t xml:space="preserve">R$ 80-120k</t>
  </si>
  <si>
    <t xml:space="preserve">3T 2026</t>
  </si>
  <si>
    <t xml:space="preserve">Regulamentos consolidados em vigor (Decreto 12.955/2026 + Resolução CGIBS 6/2026 desde 30/abr/2026).</t>
  </si>
  <si>
    <t xml:space="preserve">Obter PARECER JURÍDICO completo (7 temas da Parte 7) + estruturar governança + iniciar pilotos MVP da aba 8</t>
  </si>
  <si>
    <t xml:space="preserve">R$ 150-250k</t>
  </si>
  <si>
    <t xml:space="preserve">4T 2026</t>
  </si>
  <si>
    <t xml:space="preserve">Última janela para optar pelo regime específico do art. 271 com vigência em 1º/jan/2027.</t>
  </si>
  <si>
    <t xml:space="preserve">DECISÃO formal sobre opção (Brat Cargas e Brat Agro, separadamente). Registrar ata de assembleia. Comunicar Receita.</t>
  </si>
  <si>
    <t xml:space="preserve">Diretoria + Contabilidade</t>
  </si>
  <si>
    <t xml:space="preserve">R$ 5-10k (administrativo)</t>
  </si>
  <si>
    <t xml:space="preserve">1T 2027</t>
  </si>
  <si>
    <t xml:space="preserve">CBS começa a ser cobrada com alíquota cheia (~7,7-8,8%). PIS e COFINS são extintos. IBS estadual+municipal sobe para 0,1%.</t>
  </si>
  <si>
    <t xml:space="preserve">Sistemas em operação plena; opção exercida; auditoria externa contratada para fechar 2026; primeiros contratos com Oleoplan em execução</t>
  </si>
  <si>
    <t xml:space="preserve">Operações + Comercial</t>
  </si>
  <si>
    <t xml:space="preserve">R$ 50-80k</t>
  </si>
  <si>
    <t xml:space="preserve">2T-4T 2027</t>
  </si>
  <si>
    <t xml:space="preserve">Primeiro ano de operação plena no novo regime.</t>
  </si>
  <si>
    <t xml:space="preserve">Monitorar alíquota efetiva real; comparar com modelo estimativo; iniciar negociação do CONTRATO-QUADRO com Oleoplan substituindo MVPs</t>
  </si>
  <si>
    <t xml:space="preserve">Diretoria</t>
  </si>
  <si>
    <t xml:space="preserve">R$ 30k/ano monitoramento</t>
  </si>
  <si>
    <t xml:space="preserve">2028</t>
  </si>
  <si>
    <t xml:space="preserve">Imposto Seletivo entra em vigor (não afeta Brat — biodiesel não é IS). CBS consolida.</t>
  </si>
  <si>
    <t xml:space="preserve">Avaliação anual da opção do art. 271 (pode ser retirada/renovada). Eventualmente expandir para outros clientes.</t>
  </si>
  <si>
    <t xml:space="preserve">Diretoria + Estratégia</t>
  </si>
  <si>
    <t xml:space="preserve">Custo já capturado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</si>
</sst>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(#,##0\);\-"/>
    <numFmt numFmtId="166" formatCode="&quot;R$ &quot;#,##0"/>
    <numFmt numFmtId="167" formatCode="#,##0"/>
    <numFmt numFmtId="168" formatCode="0.0%"/>
    <numFmt numFmtId="169" formatCode="&quot;R$ &quot;#,##0;[RED]&quot;(R$ &quot;#,##0\);\-"/>
    <numFmt numFmtId="170" formatCode="0.0%;[RED]\(0.0%\)"/>
    <numFmt numFmtId="171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2F75B5"/>
        <bgColor rgb="FF305496"/>
      </patternFill>
    </fill>
    <fill>
      <patternFill patternType="solid">
        <fgColor rgb="FFFFF2CC"/>
        <bgColor rgb="FFFCE4D6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8" min="3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46.2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3" t="s">
        <v>4</v>
      </c>
      <c r="B5" s="3" t="s">
        <v>5</v>
      </c>
    </row>
    <row r="6" customFormat="false" ht="23.85" hidden="false" customHeight="false" outlineLevel="0" collapsed="false">
      <c r="A6" s="3" t="s">
        <v>6</v>
      </c>
      <c r="B6" s="3" t="s">
        <v>7</v>
      </c>
    </row>
    <row r="7" customFormat="false" ht="46.25" hidden="false" customHeight="false" outlineLevel="0" collapsed="false">
      <c r="A7" s="3" t="s">
        <v>8</v>
      </c>
      <c r="B7" s="3" t="s">
        <v>9</v>
      </c>
    </row>
    <row r="8" customFormat="false" ht="35.05" hidden="false" customHeight="false" outlineLevel="0" collapsed="false">
      <c r="A8" s="3" t="s">
        <v>10</v>
      </c>
      <c r="B8" s="3" t="s">
        <v>11</v>
      </c>
    </row>
    <row r="9" customFormat="false" ht="15" hidden="false" customHeight="false" outlineLevel="0" collapsed="false">
      <c r="A9" s="3" t="s">
        <v>12</v>
      </c>
      <c r="B9" s="3" t="s">
        <v>13</v>
      </c>
    </row>
    <row r="10" customFormat="false" ht="35.05" hidden="false" customHeight="false" outlineLevel="0" collapsed="false">
      <c r="A10" s="3" t="s">
        <v>14</v>
      </c>
      <c r="B10" s="3" t="s">
        <v>15</v>
      </c>
    </row>
    <row r="11" customFormat="false" ht="15" hidden="false" customHeight="false" outlineLevel="0" collapsed="false">
      <c r="A11" s="3" t="s">
        <v>16</v>
      </c>
      <c r="B11" s="3" t="s">
        <v>17</v>
      </c>
    </row>
    <row r="12" customFormat="false" ht="15" hidden="false" customHeight="false" outlineLevel="0" collapsed="false">
      <c r="A12" s="3" t="s">
        <v>18</v>
      </c>
      <c r="B12" s="3" t="s">
        <v>19</v>
      </c>
    </row>
    <row r="13" customFormat="false" ht="35.05" hidden="false" customHeight="false" outlineLevel="0" collapsed="false">
      <c r="A13" s="3" t="s">
        <v>20</v>
      </c>
      <c r="B13" s="3" t="s">
        <v>21</v>
      </c>
    </row>
    <row r="15" customFormat="false" ht="21.75" hidden="false" customHeight="true" outlineLevel="0" collapsed="false">
      <c r="A15" s="2" t="s">
        <v>22</v>
      </c>
      <c r="B15" s="2"/>
      <c r="C15" s="2"/>
      <c r="D15" s="2"/>
      <c r="E15" s="2"/>
      <c r="F15" s="2"/>
      <c r="G15" s="2"/>
      <c r="H15" s="2"/>
    </row>
    <row r="16" customFormat="false" ht="36" hidden="false" customHeight="true" outlineLevel="0" collapsed="false">
      <c r="A16" s="3" t="s">
        <v>23</v>
      </c>
      <c r="B16" s="3" t="s">
        <v>24</v>
      </c>
    </row>
    <row r="17" customFormat="false" ht="60" hidden="false" customHeight="true" outlineLevel="0" collapsed="false">
      <c r="A17" s="3" t="s">
        <v>25</v>
      </c>
      <c r="B17" s="3" t="s">
        <v>26</v>
      </c>
    </row>
    <row r="18" customFormat="false" ht="49.5" hidden="false" customHeight="true" outlineLevel="0" collapsed="false">
      <c r="A18" s="3" t="s">
        <v>27</v>
      </c>
      <c r="B18" s="3" t="s">
        <v>28</v>
      </c>
    </row>
    <row r="19" customFormat="false" ht="35.05" hidden="false" customHeight="false" outlineLevel="0" collapsed="false">
      <c r="A19" s="3" t="s">
        <v>29</v>
      </c>
      <c r="B19" s="3" t="s">
        <v>30</v>
      </c>
    </row>
    <row r="20" customFormat="false" ht="23.85" hidden="false" customHeight="false" outlineLevel="0" collapsed="false">
      <c r="A20" s="3" t="s">
        <v>31</v>
      </c>
      <c r="B20" s="3" t="n">
        <v>418</v>
      </c>
    </row>
    <row r="21" customFormat="false" ht="35.05" hidden="false" customHeight="false" outlineLevel="0" collapsed="false">
      <c r="A21" s="3" t="s">
        <v>32</v>
      </c>
      <c r="B21" s="3" t="s">
        <v>33</v>
      </c>
    </row>
    <row r="22" customFormat="false" ht="23.85" hidden="false" customHeight="false" outlineLevel="0" collapsed="false">
      <c r="A22" s="3" t="s">
        <v>34</v>
      </c>
      <c r="B22" s="3" t="s">
        <v>35</v>
      </c>
    </row>
    <row r="23" customFormat="false" ht="36" hidden="false" customHeight="true" outlineLevel="0" collapsed="false">
      <c r="A23" s="3" t="s">
        <v>36</v>
      </c>
      <c r="B23" s="3" t="s">
        <v>37</v>
      </c>
    </row>
    <row r="24" customFormat="false" ht="35.05" hidden="false" customHeight="false" outlineLevel="0" collapsed="false">
      <c r="A24" s="3" t="s">
        <v>38</v>
      </c>
      <c r="B24" s="3" t="s">
        <v>39</v>
      </c>
    </row>
    <row r="25" customFormat="false" ht="46.25" hidden="false" customHeight="false" outlineLevel="0" collapsed="false">
      <c r="A25" s="3" t="s">
        <v>40</v>
      </c>
      <c r="B25" s="3" t="s">
        <v>41</v>
      </c>
    </row>
    <row r="27" customFormat="false" ht="21.75" hidden="false" customHeight="true" outlineLevel="0" collapsed="false">
      <c r="A27" s="2" t="s">
        <v>42</v>
      </c>
      <c r="B27" s="2"/>
      <c r="C27" s="2"/>
      <c r="D27" s="2"/>
      <c r="E27" s="2"/>
      <c r="F27" s="2"/>
      <c r="G27" s="2"/>
      <c r="H27" s="2"/>
    </row>
    <row r="28" customFormat="false" ht="79.5" hidden="false" customHeight="true" outlineLevel="0" collapsed="false">
      <c r="A28" s="3" t="s">
        <v>43</v>
      </c>
      <c r="B28" s="3" t="s">
        <v>44</v>
      </c>
    </row>
    <row r="29" customFormat="false" ht="60" hidden="false" customHeight="true" outlineLevel="0" collapsed="false">
      <c r="A29" s="3" t="s">
        <v>45</v>
      </c>
      <c r="B29" s="3" t="s">
        <v>46</v>
      </c>
    </row>
    <row r="30" customFormat="false" ht="60" hidden="false" customHeight="true" outlineLevel="0" collapsed="false">
      <c r="A30" s="3" t="s">
        <v>47</v>
      </c>
      <c r="B30" s="3" t="s">
        <v>48</v>
      </c>
    </row>
    <row r="31" customFormat="false" ht="79.5" hidden="false" customHeight="true" outlineLevel="0" collapsed="false">
      <c r="A31" s="3" t="s">
        <v>49</v>
      </c>
      <c r="B31" s="3" t="s">
        <v>50</v>
      </c>
    </row>
    <row r="32" customFormat="false" ht="79.5" hidden="false" customHeight="true" outlineLevel="0" collapsed="false">
      <c r="A32" s="3" t="s">
        <v>51</v>
      </c>
      <c r="B32" s="3" t="s">
        <v>52</v>
      </c>
    </row>
    <row r="33" customFormat="false" ht="60" hidden="false" customHeight="true" outlineLevel="0" collapsed="false">
      <c r="A33" s="3" t="s">
        <v>53</v>
      </c>
      <c r="B33" s="3" t="s">
        <v>54</v>
      </c>
    </row>
    <row r="34" customFormat="false" ht="79.5" hidden="false" customHeight="true" outlineLevel="0" collapsed="false">
      <c r="A34" s="3" t="s">
        <v>55</v>
      </c>
      <c r="B34" s="3" t="s">
        <v>56</v>
      </c>
    </row>
    <row r="36" customFormat="false" ht="21.75" hidden="false" customHeight="true" outlineLevel="0" collapsed="false">
      <c r="A36" s="2" t="s">
        <v>57</v>
      </c>
      <c r="B36" s="2"/>
      <c r="C36" s="2"/>
      <c r="D36" s="2"/>
      <c r="E36" s="2"/>
      <c r="F36" s="2"/>
      <c r="G36" s="2"/>
      <c r="H36" s="2"/>
    </row>
    <row r="37" customFormat="false" ht="15" hidden="false" customHeight="true" outlineLevel="0" collapsed="false">
      <c r="A37" s="4" t="s">
        <v>58</v>
      </c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</row>
  </sheetData>
  <mergeCells count="6">
    <mergeCell ref="A1:H1"/>
    <mergeCell ref="A3:H3"/>
    <mergeCell ref="A15:H15"/>
    <mergeCell ref="A27:H27"/>
    <mergeCell ref="A36:H36"/>
    <mergeCell ref="A37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8" min="3" style="0" width="18"/>
  </cols>
  <sheetData>
    <row r="1" customFormat="false" ht="30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60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5" t="s">
        <v>61</v>
      </c>
      <c r="B4" s="5" t="s">
        <v>62</v>
      </c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3" t="s">
        <v>2</v>
      </c>
      <c r="B5" s="3" t="s">
        <v>3</v>
      </c>
    </row>
    <row r="6" customFormat="false" ht="15" hidden="false" customHeight="false" outlineLevel="0" collapsed="false">
      <c r="A6" s="3" t="s">
        <v>63</v>
      </c>
      <c r="B6" s="3" t="s">
        <v>64</v>
      </c>
    </row>
    <row r="7" customFormat="false" ht="15" hidden="false" customHeight="false" outlineLevel="0" collapsed="false">
      <c r="A7" s="3" t="s">
        <v>65</v>
      </c>
      <c r="B7" s="3" t="s">
        <v>5</v>
      </c>
    </row>
    <row r="8" customFormat="false" ht="15" hidden="false" customHeight="false" outlineLevel="0" collapsed="false">
      <c r="A8" s="3" t="s">
        <v>66</v>
      </c>
      <c r="B8" s="3" t="s">
        <v>67</v>
      </c>
    </row>
    <row r="9" customFormat="false" ht="15" hidden="false" customHeight="false" outlineLevel="0" collapsed="false">
      <c r="A9" s="3" t="s">
        <v>68</v>
      </c>
      <c r="B9" s="3" t="s">
        <v>69</v>
      </c>
    </row>
    <row r="10" customFormat="false" ht="15" hidden="false" customHeight="false" outlineLevel="0" collapsed="false">
      <c r="A10" s="3" t="s">
        <v>16</v>
      </c>
      <c r="B10" s="3" t="s">
        <v>70</v>
      </c>
    </row>
    <row r="11" customFormat="false" ht="15" hidden="false" customHeight="false" outlineLevel="0" collapsed="false">
      <c r="A11" s="3" t="s">
        <v>71</v>
      </c>
      <c r="B11" s="3" t="s">
        <v>72</v>
      </c>
    </row>
    <row r="12" customFormat="false" ht="15" hidden="false" customHeight="false" outlineLevel="0" collapsed="false">
      <c r="A12" s="3" t="s">
        <v>14</v>
      </c>
      <c r="B12" s="3" t="s">
        <v>73</v>
      </c>
    </row>
    <row r="13" customFormat="false" ht="15" hidden="false" customHeight="false" outlineLevel="0" collapsed="false">
      <c r="A13" s="3" t="s">
        <v>74</v>
      </c>
      <c r="B13" s="3" t="s">
        <v>75</v>
      </c>
    </row>
    <row r="14" customFormat="false" ht="15" hidden="false" customHeight="false" outlineLevel="0" collapsed="false">
      <c r="A14" s="3" t="s">
        <v>12</v>
      </c>
      <c r="B14" s="3" t="s">
        <v>13</v>
      </c>
    </row>
    <row r="15" customFormat="false" ht="15" hidden="false" customHeight="false" outlineLevel="0" collapsed="false">
      <c r="A15" s="3" t="s">
        <v>76</v>
      </c>
      <c r="B15" s="3" t="s">
        <v>77</v>
      </c>
    </row>
    <row r="16" customFormat="false" ht="15" hidden="false" customHeight="false" outlineLevel="0" collapsed="false">
      <c r="A16" s="3" t="s">
        <v>78</v>
      </c>
      <c r="B16" s="3" t="s">
        <v>79</v>
      </c>
    </row>
    <row r="17" customFormat="false" ht="15" hidden="false" customHeight="false" outlineLevel="0" collapsed="false">
      <c r="A17" s="3" t="s">
        <v>10</v>
      </c>
      <c r="B17" s="3" t="s">
        <v>11</v>
      </c>
    </row>
    <row r="18" customFormat="false" ht="15" hidden="false" customHeight="false" outlineLevel="0" collapsed="false">
      <c r="A18" s="3" t="s">
        <v>80</v>
      </c>
      <c r="B18" s="3" t="s">
        <v>81</v>
      </c>
    </row>
    <row r="19" customFormat="false" ht="15" hidden="false" customHeight="false" outlineLevel="0" collapsed="false">
      <c r="A19" s="3" t="s">
        <v>82</v>
      </c>
      <c r="B19" s="3" t="s">
        <v>83</v>
      </c>
    </row>
    <row r="20" customFormat="false" ht="15" hidden="false" customHeight="false" outlineLevel="0" collapsed="false">
      <c r="A20" s="3" t="s">
        <v>84</v>
      </c>
      <c r="B20" s="3" t="s">
        <v>85</v>
      </c>
    </row>
    <row r="21" customFormat="false" ht="15" hidden="false" customHeight="false" outlineLevel="0" collapsed="false">
      <c r="A21" s="3" t="s">
        <v>86</v>
      </c>
      <c r="B21" s="3" t="s">
        <v>87</v>
      </c>
    </row>
    <row r="22" customFormat="false" ht="15" hidden="false" customHeight="false" outlineLevel="0" collapsed="false">
      <c r="A22" s="3" t="s">
        <v>88</v>
      </c>
      <c r="B22" s="3" t="s">
        <v>89</v>
      </c>
    </row>
    <row r="23" customFormat="false" ht="15" hidden="false" customHeight="false" outlineLevel="0" collapsed="false">
      <c r="A23" s="3" t="s">
        <v>90</v>
      </c>
      <c r="B23" s="3" t="s">
        <v>91</v>
      </c>
    </row>
    <row r="24" customFormat="false" ht="15" hidden="false" customHeight="false" outlineLevel="0" collapsed="false">
      <c r="A24" s="3" t="s">
        <v>92</v>
      </c>
      <c r="B24" s="3" t="s">
        <v>93</v>
      </c>
    </row>
    <row r="25" customFormat="false" ht="15" hidden="false" customHeight="false" outlineLevel="0" collapsed="false">
      <c r="A25" s="3" t="s">
        <v>94</v>
      </c>
      <c r="B25" s="3" t="s">
        <v>95</v>
      </c>
    </row>
    <row r="26" customFormat="false" ht="15" hidden="false" customHeight="false" outlineLevel="0" collapsed="false">
      <c r="A26" s="3" t="s">
        <v>96</v>
      </c>
      <c r="B26" s="3" t="s">
        <v>97</v>
      </c>
    </row>
    <row r="27" customFormat="false" ht="15" hidden="false" customHeight="false" outlineLevel="0" collapsed="false">
      <c r="A27" s="3" t="s">
        <v>98</v>
      </c>
      <c r="B27" s="3" t="s">
        <v>19</v>
      </c>
    </row>
    <row r="29" customFormat="false" ht="21.75" hidden="false" customHeight="true" outlineLevel="0" collapsed="false">
      <c r="A29" s="2" t="s">
        <v>99</v>
      </c>
      <c r="B29" s="2"/>
      <c r="C29" s="2"/>
      <c r="D29" s="2"/>
      <c r="E29" s="2"/>
      <c r="F29" s="2"/>
      <c r="G29" s="2"/>
      <c r="H29" s="2"/>
    </row>
    <row r="30" customFormat="false" ht="27.75" hidden="false" customHeight="true" outlineLevel="0" collapsed="false">
      <c r="A30" s="5" t="s">
        <v>100</v>
      </c>
      <c r="B30" s="5" t="s">
        <v>101</v>
      </c>
      <c r="C30" s="5" t="s">
        <v>102</v>
      </c>
      <c r="D30" s="5"/>
      <c r="E30" s="5"/>
      <c r="F30" s="5"/>
      <c r="G30" s="5"/>
      <c r="H30" s="5"/>
    </row>
    <row r="31" customFormat="false" ht="35.05" hidden="false" customHeight="false" outlineLevel="0" collapsed="false">
      <c r="A31" s="3" t="s">
        <v>103</v>
      </c>
      <c r="B31" s="3" t="s">
        <v>104</v>
      </c>
      <c r="C31" s="3" t="s">
        <v>105</v>
      </c>
    </row>
    <row r="32" customFormat="false" ht="15" hidden="false" customHeight="false" outlineLevel="0" collapsed="false">
      <c r="A32" s="3" t="s">
        <v>106</v>
      </c>
      <c r="B32" s="3" t="s">
        <v>107</v>
      </c>
      <c r="C32" s="3" t="s">
        <v>105</v>
      </c>
    </row>
    <row r="33" customFormat="false" ht="15" hidden="false" customHeight="false" outlineLevel="0" collapsed="false">
      <c r="A33" s="3" t="s">
        <v>108</v>
      </c>
      <c r="B33" s="3" t="s">
        <v>109</v>
      </c>
      <c r="C33" s="3" t="s">
        <v>110</v>
      </c>
    </row>
    <row r="34" customFormat="false" ht="15" hidden="false" customHeight="false" outlineLevel="0" collapsed="false">
      <c r="A34" s="3" t="s">
        <v>111</v>
      </c>
      <c r="B34" s="3" t="s">
        <v>112</v>
      </c>
      <c r="C34" s="3" t="s">
        <v>113</v>
      </c>
    </row>
    <row r="35" customFormat="false" ht="15" hidden="false" customHeight="false" outlineLevel="0" collapsed="false">
      <c r="A35" s="3" t="s">
        <v>114</v>
      </c>
      <c r="B35" s="3" t="s">
        <v>115</v>
      </c>
      <c r="C35" s="3" t="s">
        <v>116</v>
      </c>
    </row>
    <row r="37" customFormat="false" ht="21.75" hidden="false" customHeight="true" outlineLevel="0" collapsed="false">
      <c r="A37" s="2" t="s">
        <v>117</v>
      </c>
      <c r="B37" s="2"/>
      <c r="C37" s="2"/>
      <c r="D37" s="2"/>
      <c r="E37" s="2"/>
      <c r="F37" s="2"/>
      <c r="G37" s="2"/>
      <c r="H37" s="2"/>
    </row>
    <row r="38" customFormat="false" ht="27.75" hidden="false" customHeight="true" outlineLevel="0" collapsed="false">
      <c r="A38" s="5" t="s">
        <v>61</v>
      </c>
      <c r="B38" s="5" t="s">
        <v>62</v>
      </c>
      <c r="C38" s="5"/>
      <c r="D38" s="5"/>
      <c r="E38" s="5"/>
      <c r="F38" s="5"/>
      <c r="G38" s="5"/>
      <c r="H38" s="5"/>
    </row>
    <row r="39" customFormat="false" ht="18" hidden="false" customHeight="true" outlineLevel="0" collapsed="false">
      <c r="A39" s="3" t="s">
        <v>118</v>
      </c>
      <c r="B39" s="3" t="s">
        <v>119</v>
      </c>
    </row>
    <row r="40" customFormat="false" ht="18" hidden="false" customHeight="true" outlineLevel="0" collapsed="false">
      <c r="A40" s="3" t="s">
        <v>120</v>
      </c>
      <c r="B40" s="3" t="s">
        <v>121</v>
      </c>
    </row>
    <row r="41" customFormat="false" ht="18" hidden="false" customHeight="true" outlineLevel="0" collapsed="false">
      <c r="A41" s="3" t="s">
        <v>122</v>
      </c>
      <c r="B41" s="3" t="s">
        <v>123</v>
      </c>
    </row>
    <row r="42" customFormat="false" ht="49.5" hidden="false" customHeight="true" outlineLevel="0" collapsed="false">
      <c r="A42" s="3" t="s">
        <v>124</v>
      </c>
      <c r="B42" s="3" t="s">
        <v>125</v>
      </c>
    </row>
    <row r="43" customFormat="false" ht="49.5" hidden="false" customHeight="true" outlineLevel="0" collapsed="false">
      <c r="A43" s="3" t="s">
        <v>126</v>
      </c>
      <c r="B43" s="3" t="s">
        <v>127</v>
      </c>
    </row>
    <row r="44" customFormat="false" ht="18" hidden="false" customHeight="true" outlineLevel="0" collapsed="false">
      <c r="A44" s="3" t="s">
        <v>128</v>
      </c>
      <c r="B44" s="3" t="s">
        <v>129</v>
      </c>
    </row>
    <row r="45" customFormat="false" ht="18" hidden="false" customHeight="true" outlineLevel="0" collapsed="false">
      <c r="A45" s="3" t="s">
        <v>130</v>
      </c>
      <c r="B45" s="3" t="s">
        <v>131</v>
      </c>
    </row>
    <row r="46" customFormat="false" ht="18" hidden="false" customHeight="true" outlineLevel="0" collapsed="false">
      <c r="A46" s="3" t="s">
        <v>132</v>
      </c>
      <c r="B46" s="3" t="s">
        <v>133</v>
      </c>
    </row>
    <row r="47" customFormat="false" ht="18" hidden="false" customHeight="true" outlineLevel="0" collapsed="false">
      <c r="A47" s="3" t="s">
        <v>134</v>
      </c>
      <c r="B47" s="3" t="s">
        <v>135</v>
      </c>
    </row>
    <row r="49" customFormat="false" ht="21.75" hidden="false" customHeight="true" outlineLevel="0" collapsed="false">
      <c r="A49" s="2" t="s">
        <v>136</v>
      </c>
      <c r="B49" s="2"/>
      <c r="C49" s="2"/>
      <c r="D49" s="2"/>
      <c r="E49" s="2"/>
      <c r="F49" s="2"/>
      <c r="G49" s="2"/>
      <c r="H49" s="2"/>
    </row>
    <row r="50" customFormat="false" ht="27.75" hidden="false" customHeight="true" outlineLevel="0" collapsed="false">
      <c r="A50" s="5" t="s">
        <v>137</v>
      </c>
      <c r="B50" s="5" t="s">
        <v>138</v>
      </c>
      <c r="C50" s="5"/>
      <c r="D50" s="5"/>
      <c r="E50" s="5"/>
      <c r="F50" s="5"/>
      <c r="G50" s="5"/>
      <c r="H50" s="5"/>
    </row>
    <row r="51" customFormat="false" ht="36" hidden="false" customHeight="true" outlineLevel="0" collapsed="false">
      <c r="A51" s="3" t="s">
        <v>139</v>
      </c>
      <c r="B51" s="3" t="s">
        <v>140</v>
      </c>
    </row>
    <row r="52" customFormat="false" ht="36" hidden="false" customHeight="true" outlineLevel="0" collapsed="false">
      <c r="A52" s="3" t="s">
        <v>141</v>
      </c>
      <c r="B52" s="3" t="s">
        <v>142</v>
      </c>
    </row>
    <row r="53" customFormat="false" ht="36" hidden="false" customHeight="true" outlineLevel="0" collapsed="false">
      <c r="A53" s="3" t="s">
        <v>143</v>
      </c>
      <c r="B53" s="3" t="s">
        <v>144</v>
      </c>
    </row>
    <row r="54" customFormat="false" ht="36" hidden="false" customHeight="true" outlineLevel="0" collapsed="false">
      <c r="A54" s="3" t="s">
        <v>145</v>
      </c>
      <c r="B54" s="3" t="s">
        <v>146</v>
      </c>
    </row>
    <row r="55" customFormat="false" ht="36" hidden="false" customHeight="true" outlineLevel="0" collapsed="false">
      <c r="A55" s="3" t="s">
        <v>147</v>
      </c>
      <c r="B55" s="3" t="s">
        <v>148</v>
      </c>
    </row>
    <row r="56" customFormat="false" ht="36" hidden="false" customHeight="true" outlineLevel="0" collapsed="false">
      <c r="A56" s="3" t="s">
        <v>149</v>
      </c>
      <c r="B56" s="3" t="s">
        <v>150</v>
      </c>
    </row>
    <row r="57" customFormat="false" ht="36" hidden="false" customHeight="true" outlineLevel="0" collapsed="false">
      <c r="A57" s="3" t="s">
        <v>151</v>
      </c>
      <c r="B57" s="3" t="s">
        <v>152</v>
      </c>
    </row>
    <row r="58" customFormat="false" ht="36" hidden="false" customHeight="true" outlineLevel="0" collapsed="false">
      <c r="A58" s="3" t="s">
        <v>153</v>
      </c>
      <c r="B58" s="3" t="s">
        <v>154</v>
      </c>
    </row>
  </sheetData>
  <mergeCells count="5">
    <mergeCell ref="A1:H1"/>
    <mergeCell ref="A3:H3"/>
    <mergeCell ref="A29:H29"/>
    <mergeCell ref="A37:H37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7" min="6" style="0" width="2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155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156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6" t="s">
        <v>157</v>
      </c>
      <c r="B4" s="6"/>
      <c r="C4" s="6"/>
      <c r="D4" s="6"/>
      <c r="E4" s="6"/>
      <c r="F4" s="6"/>
      <c r="G4" s="6"/>
      <c r="H4" s="6"/>
    </row>
    <row r="5" customFormat="false" ht="23.85" hidden="false" customHeight="false" outlineLevel="0" collapsed="false">
      <c r="A5" s="3" t="s">
        <v>158</v>
      </c>
      <c r="B5" s="7" t="n">
        <v>658414</v>
      </c>
      <c r="C5" s="3"/>
      <c r="D5" s="3"/>
      <c r="E5" s="3"/>
      <c r="F5" s="3" t="s">
        <v>159</v>
      </c>
      <c r="G5" s="3"/>
      <c r="H5" s="3"/>
    </row>
    <row r="6" customFormat="false" ht="23.85" hidden="false" customHeight="false" outlineLevel="0" collapsed="false">
      <c r="A6" s="3" t="s">
        <v>160</v>
      </c>
      <c r="B6" s="7" t="n">
        <v>600000</v>
      </c>
      <c r="C6" s="3"/>
      <c r="D6" s="3"/>
      <c r="E6" s="3"/>
      <c r="F6" s="3" t="s">
        <v>161</v>
      </c>
      <c r="G6" s="3"/>
      <c r="H6" s="3"/>
    </row>
    <row r="7" customFormat="false" ht="15" hidden="false" customHeight="false" outlineLevel="0" collapsed="false">
      <c r="A7" s="3" t="s">
        <v>162</v>
      </c>
      <c r="B7" s="8" t="n">
        <v>203.26</v>
      </c>
      <c r="C7" s="3"/>
      <c r="D7" s="3"/>
      <c r="E7" s="3"/>
      <c r="F7" s="3" t="s">
        <v>163</v>
      </c>
      <c r="G7" s="3"/>
      <c r="H7" s="3"/>
    </row>
    <row r="8" customFormat="false" ht="15" hidden="false" customHeight="false" outlineLevel="0" collapsed="false">
      <c r="A8" s="3" t="s">
        <v>164</v>
      </c>
      <c r="B8" s="8" t="n">
        <v>771.25</v>
      </c>
      <c r="C8" s="3"/>
      <c r="D8" s="3"/>
      <c r="E8" s="3"/>
      <c r="F8" s="3" t="s">
        <v>163</v>
      </c>
      <c r="G8" s="3"/>
      <c r="H8" s="3"/>
    </row>
    <row r="9" customFormat="false" ht="23.85" hidden="false" customHeight="false" outlineLevel="0" collapsed="false">
      <c r="A9" s="3" t="s">
        <v>165</v>
      </c>
      <c r="B9" s="8" t="n">
        <v>110</v>
      </c>
      <c r="C9" s="3"/>
      <c r="D9" s="3"/>
      <c r="E9" s="3"/>
      <c r="F9" s="3" t="s">
        <v>166</v>
      </c>
      <c r="G9" s="3"/>
      <c r="H9" s="3"/>
    </row>
    <row r="10" customFormat="false" ht="35.05" hidden="false" customHeight="false" outlineLevel="0" collapsed="false">
      <c r="A10" s="3" t="s">
        <v>167</v>
      </c>
      <c r="B10" s="9" t="n">
        <v>2800</v>
      </c>
      <c r="C10" s="3"/>
      <c r="D10" s="3"/>
      <c r="E10" s="3"/>
      <c r="F10" s="3" t="s">
        <v>168</v>
      </c>
      <c r="G10" s="3"/>
      <c r="H10" s="3"/>
    </row>
    <row r="11" customFormat="false" ht="35.05" hidden="false" customHeight="false" outlineLevel="0" collapsed="false">
      <c r="A11" s="3" t="s">
        <v>169</v>
      </c>
      <c r="B11" s="9" t="n">
        <v>2050</v>
      </c>
      <c r="C11" s="3"/>
      <c r="D11" s="3"/>
      <c r="E11" s="3"/>
      <c r="F11" s="3" t="s">
        <v>170</v>
      </c>
      <c r="G11" s="3"/>
      <c r="H11" s="3"/>
    </row>
    <row r="12" customFormat="false" ht="23.85" hidden="false" customHeight="false" outlineLevel="0" collapsed="false">
      <c r="A12" s="3" t="s">
        <v>171</v>
      </c>
      <c r="B12" s="9" t="n">
        <v>6500</v>
      </c>
      <c r="C12" s="3"/>
      <c r="D12" s="3"/>
      <c r="E12" s="3"/>
      <c r="F12" s="3" t="s">
        <v>172</v>
      </c>
      <c r="G12" s="3"/>
      <c r="H12" s="3"/>
    </row>
    <row r="14" customFormat="false" ht="21.75" hidden="false" customHeight="true" outlineLevel="0" collapsed="false">
      <c r="A14" s="2" t="s">
        <v>173</v>
      </c>
      <c r="B14" s="2"/>
      <c r="C14" s="2"/>
      <c r="D14" s="2"/>
      <c r="E14" s="2"/>
      <c r="F14" s="2"/>
      <c r="G14" s="2"/>
      <c r="H14" s="2"/>
    </row>
    <row r="15" customFormat="false" ht="27.75" hidden="false" customHeight="true" outlineLevel="0" collapsed="false">
      <c r="A15" s="5" t="s">
        <v>174</v>
      </c>
      <c r="B15" s="5" t="s">
        <v>175</v>
      </c>
      <c r="C15" s="5" t="s">
        <v>176</v>
      </c>
      <c r="D15" s="5" t="s">
        <v>177</v>
      </c>
      <c r="E15" s="5" t="s">
        <v>178</v>
      </c>
      <c r="F15" s="5" t="s">
        <v>179</v>
      </c>
      <c r="G15" s="5" t="s">
        <v>180</v>
      </c>
      <c r="H15" s="5" t="s">
        <v>181</v>
      </c>
    </row>
    <row r="16" customFormat="false" ht="49.5" hidden="false" customHeight="true" outlineLevel="0" collapsed="false">
      <c r="A16" s="3" t="s">
        <v>182</v>
      </c>
      <c r="B16" s="3" t="s">
        <v>183</v>
      </c>
      <c r="C16" s="10" t="n">
        <f aca="false">B5</f>
        <v>658414</v>
      </c>
      <c r="D16" s="11" t="n">
        <f aca="false">B11</f>
        <v>2050</v>
      </c>
      <c r="E16" s="11" t="n">
        <f aca="false">C16*D16</f>
        <v>1349748700</v>
      </c>
      <c r="F16" s="3" t="s">
        <v>184</v>
      </c>
      <c r="G16" s="3" t="s">
        <v>185</v>
      </c>
      <c r="H16" s="3" t="s">
        <v>186</v>
      </c>
    </row>
    <row r="17" customFormat="false" ht="49.5" hidden="false" customHeight="true" outlineLevel="0" collapsed="false">
      <c r="A17" s="3" t="s">
        <v>187</v>
      </c>
      <c r="B17" s="3" t="s">
        <v>188</v>
      </c>
      <c r="C17" s="12" t="n">
        <v>25000</v>
      </c>
      <c r="D17" s="11" t="n">
        <f aca="false">D12</f>
        <v>0</v>
      </c>
      <c r="E17" s="11" t="n">
        <f aca="false">C17*D17</f>
        <v>0</v>
      </c>
      <c r="F17" s="3" t="s">
        <v>189</v>
      </c>
      <c r="G17" s="3" t="s">
        <v>190</v>
      </c>
      <c r="H17" s="3" t="s">
        <v>191</v>
      </c>
    </row>
    <row r="18" customFormat="false" ht="49.5" hidden="false" customHeight="true" outlineLevel="0" collapsed="false">
      <c r="A18" s="3" t="s">
        <v>192</v>
      </c>
      <c r="B18" s="3" t="s">
        <v>193</v>
      </c>
      <c r="C18" s="12" t="n">
        <v>134000</v>
      </c>
      <c r="D18" s="11" t="n">
        <v>5800</v>
      </c>
      <c r="E18" s="11" t="n">
        <f aca="false">C18*D18</f>
        <v>777200000</v>
      </c>
      <c r="F18" s="3" t="s">
        <v>194</v>
      </c>
      <c r="G18" s="3" t="s">
        <v>195</v>
      </c>
      <c r="H18" s="3" t="s">
        <v>196</v>
      </c>
    </row>
    <row r="19" customFormat="false" ht="49.5" hidden="false" customHeight="true" outlineLevel="0" collapsed="false">
      <c r="A19" s="3" t="s">
        <v>197</v>
      </c>
      <c r="B19" s="3" t="s">
        <v>198</v>
      </c>
      <c r="C19" s="3" t="n">
        <f aca="false">B6*B9/1000</f>
        <v>66000</v>
      </c>
      <c r="D19" s="11" t="n">
        <f aca="false">B10</f>
        <v>2800</v>
      </c>
      <c r="E19" s="11" t="n">
        <f aca="false">C19*D19</f>
        <v>184800000</v>
      </c>
      <c r="F19" s="3" t="s">
        <v>199</v>
      </c>
      <c r="G19" s="3" t="s">
        <v>200</v>
      </c>
      <c r="H19" s="3" t="s">
        <v>201</v>
      </c>
    </row>
    <row r="20" customFormat="false" ht="49.5" hidden="false" customHeight="true" outlineLevel="0" collapsed="false">
      <c r="A20" s="3" t="s">
        <v>202</v>
      </c>
      <c r="B20" s="3" t="s">
        <v>203</v>
      </c>
      <c r="C20" s="12" t="n">
        <v>4000</v>
      </c>
      <c r="D20" s="11" t="n">
        <v>8500</v>
      </c>
      <c r="E20" s="11" t="n">
        <f aca="false">C20*D20</f>
        <v>34000000</v>
      </c>
      <c r="F20" s="3" t="s">
        <v>204</v>
      </c>
      <c r="G20" s="3" t="s">
        <v>205</v>
      </c>
      <c r="H20" s="3" t="s">
        <v>206</v>
      </c>
    </row>
    <row r="21" customFormat="false" ht="49.5" hidden="false" customHeight="true" outlineLevel="0" collapsed="false">
      <c r="A21" s="3" t="s">
        <v>207</v>
      </c>
      <c r="B21" s="3" t="s">
        <v>208</v>
      </c>
      <c r="C21" s="12" t="n">
        <v>800</v>
      </c>
      <c r="D21" s="11" t="n">
        <v>7200</v>
      </c>
      <c r="E21" s="11" t="n">
        <f aca="false">C21*D21</f>
        <v>5760000</v>
      </c>
      <c r="F21" s="3" t="s">
        <v>209</v>
      </c>
      <c r="G21" s="3" t="s">
        <v>210</v>
      </c>
      <c r="H21" s="3" t="s">
        <v>211</v>
      </c>
    </row>
    <row r="22" customFormat="false" ht="49.5" hidden="false" customHeight="true" outlineLevel="0" collapsed="false">
      <c r="A22" s="3" t="s">
        <v>212</v>
      </c>
      <c r="B22" s="3" t="s">
        <v>213</v>
      </c>
      <c r="C22" s="3" t="n">
        <f aca="false">B5*39.03/1000</f>
        <v>25697.89842</v>
      </c>
      <c r="D22" s="11" t="n">
        <v>420</v>
      </c>
      <c r="E22" s="11" t="n">
        <f aca="false">C22*D22</f>
        <v>10793117.3364</v>
      </c>
      <c r="F22" s="3" t="s">
        <v>214</v>
      </c>
      <c r="G22" s="3" t="s">
        <v>215</v>
      </c>
      <c r="H22" s="3" t="s">
        <v>216</v>
      </c>
    </row>
    <row r="23" customFormat="false" ht="49.5" hidden="false" customHeight="true" outlineLevel="0" collapsed="false">
      <c r="A23" s="3" t="s">
        <v>217</v>
      </c>
      <c r="B23" s="3" t="s">
        <v>218</v>
      </c>
      <c r="C23" s="12" t="n">
        <v>8000</v>
      </c>
      <c r="D23" s="11" t="n">
        <v>5800</v>
      </c>
      <c r="E23" s="11" t="n">
        <f aca="false">C23*D23</f>
        <v>46400000</v>
      </c>
      <c r="F23" s="3" t="s">
        <v>219</v>
      </c>
      <c r="G23" s="3" t="s">
        <v>220</v>
      </c>
      <c r="H23" s="3" t="s">
        <v>221</v>
      </c>
    </row>
    <row r="24" customFormat="false" ht="49.5" hidden="false" customHeight="true" outlineLevel="0" collapsed="false">
      <c r="A24" s="3" t="s">
        <v>222</v>
      </c>
      <c r="B24" s="3" t="s">
        <v>223</v>
      </c>
      <c r="C24" s="12" t="n">
        <v>2500</v>
      </c>
      <c r="D24" s="11" t="n">
        <v>12000</v>
      </c>
      <c r="E24" s="11" t="n">
        <f aca="false">C24*D24</f>
        <v>30000000</v>
      </c>
      <c r="F24" s="3" t="s">
        <v>224</v>
      </c>
      <c r="G24" s="3" t="s">
        <v>210</v>
      </c>
      <c r="H24" s="3" t="s">
        <v>225</v>
      </c>
    </row>
    <row r="25" customFormat="false" ht="49.5" hidden="false" customHeight="true" outlineLevel="0" collapsed="false">
      <c r="A25" s="3" t="s">
        <v>226</v>
      </c>
      <c r="B25" s="3" t="s">
        <v>227</v>
      </c>
      <c r="C25" s="3" t="s">
        <v>116</v>
      </c>
      <c r="D25" s="3" t="s">
        <v>116</v>
      </c>
      <c r="E25" s="11" t="n">
        <v>18000000</v>
      </c>
      <c r="F25" s="3" t="s">
        <v>228</v>
      </c>
      <c r="G25" s="3" t="s">
        <v>229</v>
      </c>
      <c r="H25" s="3" t="s">
        <v>230</v>
      </c>
    </row>
    <row r="26" customFormat="false" ht="49.5" hidden="false" customHeight="true" outlineLevel="0" collapsed="false">
      <c r="A26" s="3" t="s">
        <v>231</v>
      </c>
      <c r="B26" s="3" t="s">
        <v>232</v>
      </c>
      <c r="C26" s="3" t="s">
        <v>116</v>
      </c>
      <c r="D26" s="3" t="s">
        <v>116</v>
      </c>
      <c r="E26" s="11" t="n">
        <v>35000000</v>
      </c>
      <c r="F26" s="3" t="s">
        <v>233</v>
      </c>
      <c r="G26" s="3" t="s">
        <v>210</v>
      </c>
      <c r="H26" s="3" t="s">
        <v>234</v>
      </c>
    </row>
    <row r="27" customFormat="false" ht="49.5" hidden="false" customHeight="true" outlineLevel="0" collapsed="false">
      <c r="A27" s="3" t="s">
        <v>235</v>
      </c>
      <c r="B27" s="3" t="s">
        <v>236</v>
      </c>
      <c r="C27" s="3" t="s">
        <v>116</v>
      </c>
      <c r="D27" s="3" t="s">
        <v>116</v>
      </c>
      <c r="E27" s="11" t="n">
        <v>6000000</v>
      </c>
      <c r="F27" s="3" t="s">
        <v>237</v>
      </c>
      <c r="G27" s="3" t="s">
        <v>210</v>
      </c>
      <c r="H27" s="3" t="s">
        <v>238</v>
      </c>
    </row>
    <row r="28" customFormat="false" ht="49.5" hidden="false" customHeight="true" outlineLevel="0" collapsed="false">
      <c r="A28" s="3" t="s">
        <v>239</v>
      </c>
      <c r="B28" s="3" t="s">
        <v>213</v>
      </c>
      <c r="C28" s="3" t="s">
        <v>116</v>
      </c>
      <c r="D28" s="3" t="s">
        <v>116</v>
      </c>
      <c r="E28" s="11" t="n">
        <f aca="false">B5*0.18*1000</f>
        <v>118514520</v>
      </c>
      <c r="F28" s="3" t="s">
        <v>240</v>
      </c>
      <c r="G28" s="3" t="s">
        <v>241</v>
      </c>
      <c r="H28" s="3" t="s">
        <v>242</v>
      </c>
    </row>
    <row r="29" customFormat="false" ht="49.5" hidden="false" customHeight="true" outlineLevel="0" collapsed="false">
      <c r="A29" s="3" t="s">
        <v>243</v>
      </c>
      <c r="B29" s="3" t="s">
        <v>213</v>
      </c>
      <c r="C29" s="3" t="s">
        <v>116</v>
      </c>
      <c r="D29" s="3" t="s">
        <v>116</v>
      </c>
      <c r="E29" s="11" t="n">
        <f aca="false">B6*120</f>
        <v>72000000</v>
      </c>
      <c r="F29" s="3" t="s">
        <v>244</v>
      </c>
      <c r="G29" s="3" t="s">
        <v>245</v>
      </c>
      <c r="H29" s="3" t="s">
        <v>246</v>
      </c>
    </row>
    <row r="30" customFormat="false" ht="49.5" hidden="false" customHeight="true" outlineLevel="0" collapsed="false">
      <c r="A30" s="3" t="s">
        <v>247</v>
      </c>
      <c r="B30" s="3" t="s">
        <v>248</v>
      </c>
      <c r="C30" s="3" t="s">
        <v>116</v>
      </c>
      <c r="D30" s="3" t="s">
        <v>116</v>
      </c>
      <c r="E30" s="11" t="n">
        <v>4500000</v>
      </c>
      <c r="F30" s="3" t="s">
        <v>249</v>
      </c>
      <c r="G30" s="3" t="s">
        <v>116</v>
      </c>
      <c r="H30" s="3" t="s">
        <v>250</v>
      </c>
    </row>
    <row r="31" customFormat="false" ht="15" hidden="false" customHeight="false" outlineLevel="0" collapsed="false">
      <c r="A31" s="13" t="s">
        <v>251</v>
      </c>
      <c r="B31" s="14"/>
      <c r="C31" s="14"/>
      <c r="D31" s="14"/>
      <c r="E31" s="15" t="n">
        <f aca="false">SUM(E16:E30)</f>
        <v>2692716337.3364</v>
      </c>
      <c r="F31" s="14"/>
      <c r="G31" s="14"/>
      <c r="H31" s="14"/>
    </row>
    <row r="33" customFormat="false" ht="21.75" hidden="false" customHeight="true" outlineLevel="0" collapsed="false">
      <c r="A33" s="2" t="s">
        <v>252</v>
      </c>
      <c r="B33" s="2"/>
      <c r="C33" s="2"/>
      <c r="D33" s="2"/>
      <c r="E33" s="2"/>
      <c r="F33" s="2"/>
      <c r="G33" s="2"/>
      <c r="H33" s="2"/>
    </row>
    <row r="34" customFormat="false" ht="27.75" hidden="false" customHeight="true" outlineLevel="0" collapsed="false">
      <c r="A34" s="5" t="s">
        <v>253</v>
      </c>
      <c r="B34" s="5" t="s">
        <v>254</v>
      </c>
      <c r="C34" s="5" t="s">
        <v>255</v>
      </c>
      <c r="D34" s="5"/>
      <c r="E34" s="5"/>
      <c r="F34" s="5"/>
      <c r="G34" s="5"/>
      <c r="H34" s="5"/>
    </row>
    <row r="35" customFormat="false" ht="46.25" hidden="false" customHeight="false" outlineLevel="0" collapsed="false">
      <c r="A35" s="3" t="s">
        <v>256</v>
      </c>
      <c r="B35" s="3" t="s">
        <v>257</v>
      </c>
      <c r="C35" s="3" t="s">
        <v>258</v>
      </c>
    </row>
    <row r="36" customFormat="false" ht="57.45" hidden="false" customHeight="false" outlineLevel="0" collapsed="false">
      <c r="A36" s="3" t="s">
        <v>259</v>
      </c>
      <c r="B36" s="3" t="s">
        <v>260</v>
      </c>
      <c r="C36" s="3" t="s">
        <v>258</v>
      </c>
    </row>
    <row r="37" customFormat="false" ht="57.45" hidden="false" customHeight="false" outlineLevel="0" collapsed="false">
      <c r="A37" s="3" t="s">
        <v>261</v>
      </c>
      <c r="B37" s="3" t="s">
        <v>262</v>
      </c>
      <c r="C37" s="3" t="s">
        <v>263</v>
      </c>
    </row>
    <row r="38" customFormat="false" ht="46.25" hidden="false" customHeight="false" outlineLevel="0" collapsed="false">
      <c r="A38" s="3" t="s">
        <v>264</v>
      </c>
      <c r="B38" s="3" t="s">
        <v>265</v>
      </c>
      <c r="C38" s="3" t="s">
        <v>266</v>
      </c>
    </row>
  </sheetData>
  <mergeCells count="5">
    <mergeCell ref="A1:H1"/>
    <mergeCell ref="A3:H3"/>
    <mergeCell ref="A4:H4"/>
    <mergeCell ref="A14:H14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7" min="6" style="0" width="22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268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5" t="s">
        <v>269</v>
      </c>
      <c r="B4" s="5" t="s">
        <v>270</v>
      </c>
      <c r="C4" s="5" t="s">
        <v>271</v>
      </c>
      <c r="D4" s="5" t="s">
        <v>272</v>
      </c>
      <c r="E4" s="5" t="s">
        <v>273</v>
      </c>
      <c r="F4" s="5" t="s">
        <v>274</v>
      </c>
      <c r="G4" s="5" t="s">
        <v>275</v>
      </c>
      <c r="H4" s="5" t="s">
        <v>276</v>
      </c>
    </row>
    <row r="5" customFormat="false" ht="60" hidden="false" customHeight="true" outlineLevel="0" collapsed="false">
      <c r="A5" s="3" t="s">
        <v>277</v>
      </c>
      <c r="B5" s="3" t="s">
        <v>278</v>
      </c>
      <c r="C5" s="12" t="n">
        <v>600000</v>
      </c>
      <c r="D5" s="11" t="n">
        <v>5800</v>
      </c>
      <c r="E5" s="11" t="n">
        <v>3480000000</v>
      </c>
      <c r="F5" s="3" t="s">
        <v>279</v>
      </c>
      <c r="G5" s="3" t="s">
        <v>280</v>
      </c>
      <c r="H5" s="3" t="s">
        <v>281</v>
      </c>
    </row>
    <row r="6" customFormat="false" ht="60" hidden="false" customHeight="true" outlineLevel="0" collapsed="false">
      <c r="A6" s="3" t="s">
        <v>282</v>
      </c>
      <c r="B6" s="3" t="s">
        <v>283</v>
      </c>
      <c r="C6" s="12" t="n">
        <v>507802</v>
      </c>
      <c r="D6" s="11" t="n">
        <v>1750</v>
      </c>
      <c r="E6" s="11" t="n">
        <v>888653146</v>
      </c>
      <c r="F6" s="3" t="s">
        <v>284</v>
      </c>
      <c r="G6" s="3" t="s">
        <v>285</v>
      </c>
      <c r="H6" s="3" t="s">
        <v>286</v>
      </c>
    </row>
    <row r="7" customFormat="false" ht="60" hidden="false" customHeight="true" outlineLevel="0" collapsed="false">
      <c r="A7" s="3" t="s">
        <v>287</v>
      </c>
      <c r="B7" s="3" t="s">
        <v>193</v>
      </c>
      <c r="C7" s="3" t="s">
        <v>288</v>
      </c>
      <c r="D7" s="11" t="n">
        <v>5800</v>
      </c>
      <c r="E7" s="11" t="n">
        <v>0</v>
      </c>
      <c r="F7" s="3" t="s">
        <v>289</v>
      </c>
      <c r="G7" s="3" t="s">
        <v>290</v>
      </c>
      <c r="H7" s="3" t="s">
        <v>291</v>
      </c>
    </row>
    <row r="8" customFormat="false" ht="60" hidden="false" customHeight="true" outlineLevel="0" collapsed="false">
      <c r="A8" s="3" t="s">
        <v>292</v>
      </c>
      <c r="B8" s="3" t="s">
        <v>293</v>
      </c>
      <c r="C8" s="12" t="n">
        <v>60000</v>
      </c>
      <c r="D8" s="11" t="n">
        <v>3500</v>
      </c>
      <c r="E8" s="11" t="n">
        <v>210000000</v>
      </c>
      <c r="F8" s="3" t="s">
        <v>294</v>
      </c>
      <c r="G8" s="3" t="s">
        <v>295</v>
      </c>
      <c r="H8" s="3" t="s">
        <v>296</v>
      </c>
    </row>
    <row r="9" customFormat="false" ht="60" hidden="false" customHeight="true" outlineLevel="0" collapsed="false">
      <c r="A9" s="3" t="s">
        <v>297</v>
      </c>
      <c r="B9" s="3" t="s">
        <v>298</v>
      </c>
      <c r="C9" s="12" t="n">
        <v>50000</v>
      </c>
      <c r="D9" s="11" t="n">
        <v>780</v>
      </c>
      <c r="E9" s="11" t="n">
        <v>39000000</v>
      </c>
      <c r="F9" s="3" t="s">
        <v>299</v>
      </c>
      <c r="G9" s="3" t="s">
        <v>300</v>
      </c>
      <c r="H9" s="3" t="s">
        <v>301</v>
      </c>
    </row>
    <row r="10" customFormat="false" ht="60" hidden="false" customHeight="true" outlineLevel="0" collapsed="false">
      <c r="A10" s="3" t="s">
        <v>302</v>
      </c>
      <c r="B10" s="3" t="s">
        <v>303</v>
      </c>
      <c r="C10" s="12" t="n">
        <v>1500</v>
      </c>
      <c r="D10" s="11" t="n">
        <v>14000</v>
      </c>
      <c r="E10" s="11" t="n">
        <v>21000000</v>
      </c>
      <c r="F10" s="3" t="s">
        <v>304</v>
      </c>
      <c r="G10" s="3" t="s">
        <v>305</v>
      </c>
      <c r="H10" s="3" t="s">
        <v>306</v>
      </c>
    </row>
    <row r="11" customFormat="false" ht="60" hidden="false" customHeight="true" outlineLevel="0" collapsed="false">
      <c r="A11" s="3" t="s">
        <v>307</v>
      </c>
      <c r="B11" s="3" t="s">
        <v>308</v>
      </c>
      <c r="C11" s="12" t="n">
        <v>350000</v>
      </c>
      <c r="D11" s="11" t="n">
        <v>90</v>
      </c>
      <c r="E11" s="11" t="n">
        <v>31500000</v>
      </c>
      <c r="F11" s="3" t="s">
        <v>309</v>
      </c>
      <c r="G11" s="3" t="s">
        <v>310</v>
      </c>
      <c r="H11" s="3" t="s">
        <v>311</v>
      </c>
    </row>
    <row r="12" customFormat="false" ht="15" hidden="false" customHeight="false" outlineLevel="0" collapsed="false">
      <c r="A12" s="13" t="s">
        <v>312</v>
      </c>
      <c r="B12" s="16"/>
      <c r="C12" s="16"/>
      <c r="D12" s="16"/>
      <c r="E12" s="15" t="n">
        <f aca="false">SUM(E5:E11)</f>
        <v>4670153146</v>
      </c>
      <c r="F12" s="16"/>
      <c r="G12" s="16"/>
      <c r="H12" s="16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</row>
    <row r="14" customFormat="false" ht="21.75" hidden="false" customHeight="true" outlineLevel="0" collapsed="false">
      <c r="A14" s="2" t="s">
        <v>313</v>
      </c>
      <c r="B14" s="2"/>
      <c r="C14" s="2"/>
      <c r="D14" s="2"/>
      <c r="E14" s="2"/>
      <c r="F14" s="2"/>
      <c r="G14" s="2"/>
      <c r="H14" s="2"/>
    </row>
    <row r="15" customFormat="false" ht="27.75" hidden="false" customHeight="true" outlineLevel="0" collapsed="false">
      <c r="A15" s="5" t="s">
        <v>314</v>
      </c>
      <c r="B15" s="5" t="s">
        <v>315</v>
      </c>
      <c r="C15" s="5" t="s">
        <v>316</v>
      </c>
      <c r="D15" s="5" t="s">
        <v>317</v>
      </c>
      <c r="E15" s="5" t="s">
        <v>318</v>
      </c>
      <c r="F15" s="5"/>
      <c r="G15" s="5"/>
      <c r="H15" s="5"/>
    </row>
    <row r="16" customFormat="false" ht="15" hidden="false" customHeight="false" outlineLevel="0" collapsed="false">
      <c r="A16" s="3" t="s">
        <v>319</v>
      </c>
      <c r="B16" s="3" t="n">
        <v>5.87</v>
      </c>
      <c r="C16" s="3" t="n">
        <v>5.47</v>
      </c>
      <c r="D16" s="3" t="n">
        <v>6.59</v>
      </c>
      <c r="E16" s="3" t="s">
        <v>320</v>
      </c>
      <c r="F16" s="17"/>
      <c r="G16" s="17"/>
      <c r="H16" s="17"/>
    </row>
    <row r="17" customFormat="false" ht="15" hidden="false" customHeight="false" outlineLevel="0" collapsed="false">
      <c r="A17" s="3" t="s">
        <v>321</v>
      </c>
      <c r="B17" s="3" t="s">
        <v>116</v>
      </c>
      <c r="C17" s="3" t="n">
        <v>314</v>
      </c>
      <c r="D17" s="3" t="n">
        <v>828</v>
      </c>
      <c r="E17" s="3" t="s">
        <v>322</v>
      </c>
      <c r="F17" s="17"/>
      <c r="G17" s="17"/>
      <c r="H17" s="17"/>
    </row>
    <row r="18" customFormat="false" ht="15" hidden="false" customHeight="false" outlineLevel="0" collapsed="false">
      <c r="A18" s="3" t="s">
        <v>323</v>
      </c>
      <c r="B18" s="3" t="s">
        <v>116</v>
      </c>
      <c r="C18" s="3" t="s">
        <v>116</v>
      </c>
      <c r="D18" s="3" t="n">
        <v>867.8</v>
      </c>
      <c r="E18" s="3" t="s">
        <v>116</v>
      </c>
      <c r="F18" s="17"/>
      <c r="G18" s="17"/>
      <c r="H18" s="17"/>
    </row>
    <row r="19" customFormat="false" ht="15" hidden="false" customHeight="false" outlineLevel="0" collapsed="false">
      <c r="A19" s="3" t="s">
        <v>324</v>
      </c>
      <c r="B19" s="3" t="s">
        <v>116</v>
      </c>
      <c r="C19" s="3" t="s">
        <v>325</v>
      </c>
      <c r="D19" s="3" t="s">
        <v>326</v>
      </c>
      <c r="E19" s="3" t="s">
        <v>327</v>
      </c>
      <c r="F19" s="17"/>
      <c r="G19" s="17"/>
      <c r="H19" s="17"/>
    </row>
    <row r="20" customFormat="false" ht="15" hidden="false" customHeight="false" outlineLevel="0" collapsed="false">
      <c r="A20" s="3" t="s">
        <v>328</v>
      </c>
      <c r="B20" s="3" t="s">
        <v>116</v>
      </c>
      <c r="C20" s="3" t="n">
        <v>1.3</v>
      </c>
      <c r="D20" s="3" t="n">
        <v>1.4</v>
      </c>
      <c r="E20" s="3" t="s">
        <v>329</v>
      </c>
      <c r="F20" s="17"/>
      <c r="G20" s="17"/>
      <c r="H20" s="17"/>
    </row>
    <row r="21" customFormat="false" ht="15" hidden="false" customHeight="false" outlineLevel="0" collapsed="false">
      <c r="A21" s="3" t="s">
        <v>330</v>
      </c>
      <c r="B21" s="3" t="s">
        <v>116</v>
      </c>
      <c r="C21" s="3" t="s">
        <v>331</v>
      </c>
      <c r="D21" s="3" t="s">
        <v>332</v>
      </c>
      <c r="E21" s="3" t="s">
        <v>333</v>
      </c>
    </row>
    <row r="22" customFormat="false" ht="15" hidden="false" customHeight="false" outlineLevel="0" collapsed="false">
      <c r="A22" s="3" t="s">
        <v>334</v>
      </c>
      <c r="B22" s="3" t="s">
        <v>116</v>
      </c>
      <c r="C22" s="3" t="s">
        <v>335</v>
      </c>
      <c r="D22" s="3" t="s">
        <v>336</v>
      </c>
      <c r="E22" s="3" t="s">
        <v>337</v>
      </c>
    </row>
    <row r="23" customFormat="false" ht="15" hidden="false" customHeight="false" outlineLevel="0" collapsed="false">
      <c r="A23" s="3" t="s">
        <v>338</v>
      </c>
      <c r="B23" s="3" t="s">
        <v>116</v>
      </c>
      <c r="C23" s="3" t="s">
        <v>116</v>
      </c>
      <c r="D23" s="3" t="s">
        <v>339</v>
      </c>
      <c r="E23" s="3" t="s">
        <v>116</v>
      </c>
    </row>
  </sheetData>
  <mergeCells count="3">
    <mergeCell ref="A1:H1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7" min="7" style="0" width="3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340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341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4" t="s">
        <v>342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8" customFormat="false" ht="21.75" hidden="false" customHeight="true" outlineLevel="0" collapsed="false">
      <c r="A8" s="2" t="s">
        <v>343</v>
      </c>
      <c r="B8" s="2"/>
      <c r="C8" s="2"/>
      <c r="D8" s="2"/>
      <c r="E8" s="2"/>
      <c r="F8" s="2"/>
      <c r="G8" s="2"/>
      <c r="H8" s="2"/>
    </row>
    <row r="9" customFormat="false" ht="27.75" hidden="false" customHeight="true" outlineLevel="0" collapsed="false">
      <c r="A9" s="5" t="s">
        <v>314</v>
      </c>
      <c r="B9" s="5" t="s">
        <v>62</v>
      </c>
      <c r="C9" s="5"/>
      <c r="D9" s="5" t="s">
        <v>344</v>
      </c>
      <c r="E9" s="5"/>
      <c r="F9" s="5"/>
      <c r="G9" s="5" t="s">
        <v>345</v>
      </c>
      <c r="H9" s="5"/>
    </row>
    <row r="10" customFormat="false" ht="23.85" hidden="false" customHeight="false" outlineLevel="0" collapsed="false">
      <c r="A10" s="3" t="s">
        <v>346</v>
      </c>
      <c r="B10" s="9" t="n">
        <v>6590000000</v>
      </c>
      <c r="C10" s="3"/>
      <c r="D10" s="3" t="s">
        <v>347</v>
      </c>
      <c r="E10" s="3"/>
      <c r="F10" s="3"/>
      <c r="G10" s="3" t="s">
        <v>348</v>
      </c>
    </row>
    <row r="11" customFormat="false" ht="35.05" hidden="false" customHeight="false" outlineLevel="0" collapsed="false">
      <c r="A11" s="3" t="s">
        <v>349</v>
      </c>
      <c r="B11" s="18" t="n">
        <v>0.3</v>
      </c>
      <c r="C11" s="3"/>
      <c r="D11" s="3" t="s">
        <v>350</v>
      </c>
      <c r="E11" s="3"/>
      <c r="F11" s="3"/>
      <c r="G11" s="3" t="s">
        <v>351</v>
      </c>
    </row>
    <row r="12" customFormat="false" ht="23.85" hidden="false" customHeight="false" outlineLevel="0" collapsed="false">
      <c r="A12" s="3" t="s">
        <v>352</v>
      </c>
      <c r="B12" s="19" t="n">
        <f aca="false">B10*B11</f>
        <v>1977000000</v>
      </c>
      <c r="C12" s="3"/>
      <c r="D12" s="3" t="s">
        <v>347</v>
      </c>
      <c r="E12" s="3"/>
      <c r="F12" s="3"/>
      <c r="G12" s="3" t="s">
        <v>353</v>
      </c>
    </row>
    <row r="13" customFormat="false" ht="23.85" hidden="false" customHeight="false" outlineLevel="0" collapsed="false">
      <c r="A13" s="3" t="s">
        <v>354</v>
      </c>
      <c r="B13" s="19" t="n">
        <f aca="false">B12*1.18</f>
        <v>2332860000</v>
      </c>
      <c r="C13" s="3"/>
      <c r="D13" s="3" t="s">
        <v>347</v>
      </c>
      <c r="E13" s="3"/>
      <c r="F13" s="3"/>
      <c r="G13" s="3" t="s">
        <v>355</v>
      </c>
    </row>
    <row r="14" customFormat="false" ht="23.85" hidden="false" customHeight="false" outlineLevel="0" collapsed="false">
      <c r="A14" s="3" t="s">
        <v>356</v>
      </c>
      <c r="B14" s="20" t="n">
        <v>540000</v>
      </c>
      <c r="C14" s="3"/>
      <c r="D14" s="3" t="s">
        <v>357</v>
      </c>
      <c r="E14" s="3"/>
      <c r="F14" s="3"/>
      <c r="G14" s="3" t="s">
        <v>358</v>
      </c>
    </row>
    <row r="15" customFormat="false" ht="15" hidden="false" customHeight="false" outlineLevel="0" collapsed="false">
      <c r="A15" s="3" t="s">
        <v>359</v>
      </c>
      <c r="B15" s="18" t="n">
        <v>0.17</v>
      </c>
      <c r="C15" s="3"/>
      <c r="D15" s="3" t="s">
        <v>350</v>
      </c>
      <c r="E15" s="3"/>
      <c r="F15" s="3"/>
      <c r="G15" s="3" t="s">
        <v>360</v>
      </c>
    </row>
    <row r="16" customFormat="false" ht="23.85" hidden="false" customHeight="false" outlineLevel="0" collapsed="false">
      <c r="A16" s="3" t="s">
        <v>361</v>
      </c>
      <c r="B16" s="19" t="n">
        <f aca="false">B13*B15</f>
        <v>396586200</v>
      </c>
      <c r="C16" s="3"/>
      <c r="D16" s="3" t="s">
        <v>347</v>
      </c>
      <c r="E16" s="3"/>
      <c r="F16" s="3"/>
      <c r="G16" s="3" t="s">
        <v>362</v>
      </c>
    </row>
    <row r="18" customFormat="false" ht="21.75" hidden="false" customHeight="true" outlineLevel="0" collapsed="false">
      <c r="A18" s="2" t="s">
        <v>363</v>
      </c>
      <c r="B18" s="2"/>
      <c r="C18" s="2"/>
      <c r="D18" s="2"/>
      <c r="E18" s="2"/>
      <c r="F18" s="2"/>
      <c r="G18" s="2"/>
      <c r="H18" s="2"/>
    </row>
    <row r="19" customFormat="false" ht="27.75" hidden="false" customHeight="true" outlineLevel="0" collapsed="false">
      <c r="A19" s="5" t="s">
        <v>364</v>
      </c>
      <c r="B19" s="5" t="s">
        <v>365</v>
      </c>
      <c r="C19" s="5" t="s">
        <v>366</v>
      </c>
      <c r="D19" s="5" t="s">
        <v>367</v>
      </c>
      <c r="E19" s="5" t="s">
        <v>368</v>
      </c>
      <c r="F19" s="5" t="s">
        <v>369</v>
      </c>
      <c r="G19" s="5" t="s">
        <v>370</v>
      </c>
      <c r="H19" s="5" t="s">
        <v>371</v>
      </c>
    </row>
    <row r="20" customFormat="false" ht="36" hidden="false" customHeight="true" outlineLevel="0" collapsed="false">
      <c r="A20" s="3" t="s">
        <v>372</v>
      </c>
      <c r="B20" s="3" t="s">
        <v>373</v>
      </c>
      <c r="C20" s="3" t="s">
        <v>374</v>
      </c>
      <c r="D20" s="3" t="s">
        <v>375</v>
      </c>
      <c r="E20" s="3" t="s">
        <v>376</v>
      </c>
      <c r="F20" s="3" t="s">
        <v>377</v>
      </c>
      <c r="G20" s="3" t="s">
        <v>378</v>
      </c>
      <c r="H20" s="11" t="n">
        <v>40200300</v>
      </c>
    </row>
    <row r="21" customFormat="false" ht="36" hidden="false" customHeight="true" outlineLevel="0" collapsed="false">
      <c r="A21" s="3" t="s">
        <v>379</v>
      </c>
      <c r="B21" s="3" t="s">
        <v>373</v>
      </c>
      <c r="C21" s="3" t="s">
        <v>380</v>
      </c>
      <c r="D21" s="3" t="s">
        <v>381</v>
      </c>
      <c r="E21" s="3" t="s">
        <v>382</v>
      </c>
      <c r="F21" s="3" t="s">
        <v>383</v>
      </c>
      <c r="G21" s="3" t="s">
        <v>384</v>
      </c>
      <c r="H21" s="11" t="n">
        <v>-31965600</v>
      </c>
    </row>
    <row r="22" customFormat="false" ht="36" hidden="false" customHeight="true" outlineLevel="0" collapsed="false">
      <c r="A22" s="3" t="s">
        <v>385</v>
      </c>
      <c r="B22" s="3" t="s">
        <v>386</v>
      </c>
      <c r="C22" s="3" t="s">
        <v>387</v>
      </c>
      <c r="D22" s="3" t="s">
        <v>388</v>
      </c>
      <c r="E22" s="3" t="s">
        <v>389</v>
      </c>
      <c r="F22" s="3" t="s">
        <v>390</v>
      </c>
      <c r="G22" s="3" t="s">
        <v>391</v>
      </c>
      <c r="H22" s="11" t="n">
        <v>39960000</v>
      </c>
    </row>
    <row r="23" customFormat="false" ht="36" hidden="false" customHeight="true" outlineLevel="0" collapsed="false">
      <c r="A23" s="3" t="s">
        <v>392</v>
      </c>
      <c r="B23" s="3" t="s">
        <v>386</v>
      </c>
      <c r="C23" s="3" t="s">
        <v>380</v>
      </c>
      <c r="D23" s="3" t="s">
        <v>393</v>
      </c>
      <c r="E23" s="3" t="s">
        <v>394</v>
      </c>
      <c r="F23" s="3" t="s">
        <v>395</v>
      </c>
      <c r="G23" s="3" t="s">
        <v>396</v>
      </c>
      <c r="H23" s="11" t="n">
        <v>-73920450</v>
      </c>
    </row>
    <row r="24" customFormat="false" ht="36" hidden="false" customHeight="true" outlineLevel="0" collapsed="false">
      <c r="A24" s="3" t="s">
        <v>397</v>
      </c>
      <c r="B24" s="3" t="s">
        <v>386</v>
      </c>
      <c r="C24" s="3" t="s">
        <v>398</v>
      </c>
      <c r="D24" s="3" t="s">
        <v>399</v>
      </c>
      <c r="E24" s="3" t="s">
        <v>400</v>
      </c>
      <c r="F24" s="3" t="s">
        <v>401</v>
      </c>
      <c r="G24" s="3" t="s">
        <v>402</v>
      </c>
      <c r="H24" s="11" t="n">
        <v>46330612</v>
      </c>
    </row>
    <row r="25" customFormat="false" ht="36" hidden="false" customHeight="true" outlineLevel="0" collapsed="false">
      <c r="A25" s="3" t="s">
        <v>403</v>
      </c>
      <c r="B25" s="3" t="s">
        <v>386</v>
      </c>
      <c r="C25" s="3" t="s">
        <v>398</v>
      </c>
      <c r="D25" s="3" t="s">
        <v>404</v>
      </c>
      <c r="E25" s="3" t="s">
        <v>116</v>
      </c>
      <c r="F25" s="3" t="s">
        <v>404</v>
      </c>
      <c r="G25" s="3" t="s">
        <v>405</v>
      </c>
      <c r="H25" s="11" t="n">
        <v>19631017</v>
      </c>
    </row>
    <row r="26" customFormat="false" ht="36" hidden="false" customHeight="true" outlineLevel="0" collapsed="false">
      <c r="A26" s="3" t="s">
        <v>406</v>
      </c>
      <c r="B26" s="3" t="s">
        <v>386</v>
      </c>
      <c r="C26" s="3" t="s">
        <v>407</v>
      </c>
      <c r="D26" s="3" t="s">
        <v>408</v>
      </c>
      <c r="E26" s="3" t="s">
        <v>116</v>
      </c>
      <c r="F26" s="3" t="s">
        <v>408</v>
      </c>
      <c r="G26" s="3" t="s">
        <v>409</v>
      </c>
      <c r="H26" s="11" t="n">
        <v>6129134</v>
      </c>
    </row>
    <row r="27" customFormat="false" ht="36" hidden="false" customHeight="true" outlineLevel="0" collapsed="false">
      <c r="A27" s="3" t="s">
        <v>410</v>
      </c>
      <c r="B27" s="3" t="s">
        <v>386</v>
      </c>
      <c r="C27" s="3" t="s">
        <v>411</v>
      </c>
      <c r="D27" s="3" t="s">
        <v>412</v>
      </c>
      <c r="E27" s="3" t="s">
        <v>116</v>
      </c>
      <c r="F27" s="3" t="s">
        <v>413</v>
      </c>
      <c r="G27" s="3" t="s">
        <v>414</v>
      </c>
      <c r="H27" s="11" t="n">
        <v>919370</v>
      </c>
    </row>
    <row r="28" customFormat="false" ht="36" hidden="false" customHeight="true" outlineLevel="0" collapsed="false">
      <c r="A28" s="3" t="s">
        <v>415</v>
      </c>
      <c r="B28" s="3" t="s">
        <v>386</v>
      </c>
      <c r="C28" s="3" t="s">
        <v>411</v>
      </c>
      <c r="D28" s="3" t="s">
        <v>416</v>
      </c>
      <c r="E28" s="3" t="s">
        <v>116</v>
      </c>
      <c r="F28" s="3" t="s">
        <v>416</v>
      </c>
      <c r="G28" s="3" t="s">
        <v>417</v>
      </c>
      <c r="H28" s="11" t="n">
        <v>1777449</v>
      </c>
    </row>
    <row r="29" customFormat="false" ht="36" hidden="false" customHeight="true" outlineLevel="0" collapsed="false">
      <c r="A29" s="3" t="s">
        <v>418</v>
      </c>
      <c r="B29" s="3" t="s">
        <v>419</v>
      </c>
      <c r="C29" s="3" t="s">
        <v>411</v>
      </c>
      <c r="D29" s="3" t="s">
        <v>420</v>
      </c>
      <c r="E29" s="3" t="s">
        <v>116</v>
      </c>
      <c r="F29" s="3" t="s">
        <v>420</v>
      </c>
      <c r="G29" s="3" t="s">
        <v>421</v>
      </c>
      <c r="H29" s="11" t="n">
        <v>2451654</v>
      </c>
    </row>
    <row r="30" customFormat="false" ht="36" hidden="false" customHeight="true" outlineLevel="0" collapsed="false">
      <c r="A30" s="3" t="s">
        <v>422</v>
      </c>
      <c r="B30" s="3" t="s">
        <v>423</v>
      </c>
      <c r="C30" s="3" t="s">
        <v>424</v>
      </c>
      <c r="D30" s="3" t="s">
        <v>116</v>
      </c>
      <c r="E30" s="3" t="s">
        <v>116</v>
      </c>
      <c r="F30" s="3" t="s">
        <v>116</v>
      </c>
      <c r="G30" s="3" t="s">
        <v>425</v>
      </c>
      <c r="H30" s="11" t="n">
        <v>850000</v>
      </c>
    </row>
    <row r="31" customFormat="false" ht="36" hidden="false" customHeight="true" outlineLevel="0" collapsed="false">
      <c r="A31" s="3" t="s">
        <v>426</v>
      </c>
      <c r="B31" s="3" t="s">
        <v>423</v>
      </c>
      <c r="C31" s="3" t="s">
        <v>427</v>
      </c>
      <c r="D31" s="3" t="s">
        <v>428</v>
      </c>
      <c r="E31" s="3" t="s">
        <v>116</v>
      </c>
      <c r="F31" s="3" t="s">
        <v>116</v>
      </c>
      <c r="G31" s="3" t="s">
        <v>429</v>
      </c>
      <c r="H31" s="11" t="n">
        <v>200000</v>
      </c>
    </row>
    <row r="32" customFormat="false" ht="36" hidden="false" customHeight="true" outlineLevel="0" collapsed="false">
      <c r="A32" s="3" t="s">
        <v>430</v>
      </c>
      <c r="B32" s="3" t="s">
        <v>386</v>
      </c>
      <c r="C32" s="3" t="s">
        <v>431</v>
      </c>
      <c r="D32" s="3" t="s">
        <v>432</v>
      </c>
      <c r="E32" s="3" t="s">
        <v>433</v>
      </c>
      <c r="F32" s="3" t="s">
        <v>432</v>
      </c>
      <c r="G32" s="3" t="s">
        <v>434</v>
      </c>
      <c r="H32" s="11" t="n">
        <v>0</v>
      </c>
    </row>
    <row r="33" customFormat="false" ht="36" hidden="false" customHeight="true" outlineLevel="0" collapsed="false">
      <c r="A33" s="3" t="s">
        <v>435</v>
      </c>
      <c r="B33" s="3" t="s">
        <v>386</v>
      </c>
      <c r="C33" s="3" t="s">
        <v>436</v>
      </c>
      <c r="D33" s="3" t="s">
        <v>432</v>
      </c>
      <c r="E33" s="3" t="s">
        <v>437</v>
      </c>
      <c r="F33" s="3" t="s">
        <v>432</v>
      </c>
      <c r="G33" s="3" t="s">
        <v>438</v>
      </c>
      <c r="H33" s="11" t="n">
        <v>0</v>
      </c>
    </row>
    <row r="34" customFormat="false" ht="36" hidden="false" customHeight="true" outlineLevel="0" collapsed="false">
      <c r="A34" s="3" t="s">
        <v>439</v>
      </c>
      <c r="B34" s="3" t="s">
        <v>440</v>
      </c>
      <c r="C34" s="3" t="s">
        <v>441</v>
      </c>
      <c r="D34" s="3" t="s">
        <v>442</v>
      </c>
      <c r="E34" s="3" t="s">
        <v>116</v>
      </c>
      <c r="F34" s="3" t="s">
        <v>116</v>
      </c>
      <c r="G34" s="3" t="s">
        <v>443</v>
      </c>
      <c r="H34" s="11" t="n">
        <v>810000</v>
      </c>
    </row>
    <row r="35" customFormat="false" ht="36" hidden="false" customHeight="true" outlineLevel="0" collapsed="false">
      <c r="A35" s="3" t="s">
        <v>444</v>
      </c>
      <c r="B35" s="3" t="s">
        <v>373</v>
      </c>
      <c r="C35" s="3" t="s">
        <v>445</v>
      </c>
      <c r="D35" s="3" t="s">
        <v>446</v>
      </c>
      <c r="E35" s="3" t="s">
        <v>116</v>
      </c>
      <c r="F35" s="3" t="s">
        <v>446</v>
      </c>
      <c r="G35" s="3" t="s">
        <v>447</v>
      </c>
      <c r="H35" s="11" t="n">
        <v>53408970</v>
      </c>
    </row>
    <row r="36" customFormat="false" ht="36" hidden="false" customHeight="true" outlineLevel="0" collapsed="false">
      <c r="A36" s="3" t="s">
        <v>448</v>
      </c>
      <c r="B36" s="3" t="s">
        <v>449</v>
      </c>
      <c r="C36" s="3" t="s">
        <v>450</v>
      </c>
      <c r="D36" s="3" t="s">
        <v>116</v>
      </c>
      <c r="E36" s="3" t="s">
        <v>116</v>
      </c>
      <c r="F36" s="3" t="s">
        <v>116</v>
      </c>
      <c r="G36" s="3" t="s">
        <v>451</v>
      </c>
      <c r="H36" s="11" t="n">
        <v>1500000</v>
      </c>
    </row>
    <row r="37" customFormat="false" ht="15" hidden="false" customHeight="false" outlineLevel="0" collapsed="false">
      <c r="A37" s="13" t="s">
        <v>452</v>
      </c>
      <c r="B37" s="14"/>
      <c r="C37" s="14"/>
      <c r="D37" s="14"/>
      <c r="E37" s="14"/>
      <c r="F37" s="14"/>
      <c r="G37" s="14"/>
      <c r="H37" s="15" t="n">
        <f aca="false">SUM(H20:H36)</f>
        <v>108282456</v>
      </c>
    </row>
    <row r="38" customFormat="false" ht="15" hidden="false" customHeight="false" outlineLevel="0" collapsed="false">
      <c r="A38" s="21" t="s">
        <v>453</v>
      </c>
      <c r="H38" s="22" t="n">
        <v>2332860000</v>
      </c>
    </row>
    <row r="39" customFormat="false" ht="15" hidden="false" customHeight="false" outlineLevel="0" collapsed="false">
      <c r="A39" s="21" t="s">
        <v>454</v>
      </c>
      <c r="H39" s="23" t="n">
        <f aca="false">H37/H38</f>
        <v>0.04641618271135</v>
      </c>
    </row>
    <row r="41" customFormat="false" ht="21.75" hidden="false" customHeight="true" outlineLevel="0" collapsed="false">
      <c r="A41" s="2" t="s">
        <v>455</v>
      </c>
      <c r="B41" s="2"/>
      <c r="C41" s="2"/>
      <c r="D41" s="2"/>
      <c r="E41" s="2"/>
      <c r="F41" s="2"/>
      <c r="G41" s="2"/>
      <c r="H41" s="2"/>
    </row>
    <row r="42" customFormat="false" ht="15" hidden="false" customHeight="true" outlineLevel="0" collapsed="false">
      <c r="A42" s="24" t="s">
        <v>456</v>
      </c>
      <c r="B42" s="24"/>
      <c r="C42" s="24"/>
      <c r="D42" s="24"/>
      <c r="E42" s="24"/>
      <c r="F42" s="24"/>
      <c r="G42" s="24"/>
      <c r="H42" s="24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4"/>
      <c r="H43" s="24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  <c r="H44" s="24"/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4"/>
      <c r="H45" s="24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4"/>
      <c r="H47" s="24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4"/>
      <c r="H48" s="24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4"/>
      <c r="H49" s="24"/>
    </row>
  </sheetData>
  <mergeCells count="7">
    <mergeCell ref="A1:H1"/>
    <mergeCell ref="A3:H3"/>
    <mergeCell ref="A4:H6"/>
    <mergeCell ref="A8:H8"/>
    <mergeCell ref="A18:H18"/>
    <mergeCell ref="A41:H41"/>
    <mergeCell ref="A42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8" min="4" style="0" width="22"/>
  </cols>
  <sheetData>
    <row r="1" customFormat="false" ht="30" hidden="false" customHeight="true" outlineLevel="0" collapsed="false">
      <c r="A1" s="1" t="s">
        <v>457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458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5" t="s">
        <v>459</v>
      </c>
      <c r="B4" s="5" t="s">
        <v>254</v>
      </c>
      <c r="C4" s="5" t="s">
        <v>460</v>
      </c>
      <c r="D4" s="5" t="s">
        <v>461</v>
      </c>
      <c r="E4" s="5" t="s">
        <v>462</v>
      </c>
      <c r="F4" s="5" t="s">
        <v>463</v>
      </c>
      <c r="G4" s="5" t="s">
        <v>464</v>
      </c>
      <c r="H4" s="5" t="s">
        <v>465</v>
      </c>
    </row>
    <row r="5" customFormat="false" ht="36" hidden="false" customHeight="true" outlineLevel="0" collapsed="false">
      <c r="A5" s="3" t="s">
        <v>466</v>
      </c>
      <c r="B5" s="3" t="s">
        <v>467</v>
      </c>
      <c r="C5" s="3" t="s">
        <v>468</v>
      </c>
      <c r="D5" s="3" t="s">
        <v>116</v>
      </c>
      <c r="E5" s="3" t="s">
        <v>469</v>
      </c>
      <c r="F5" s="3" t="s">
        <v>470</v>
      </c>
      <c r="G5" s="3" t="s">
        <v>471</v>
      </c>
      <c r="H5" s="3" t="s">
        <v>472</v>
      </c>
    </row>
    <row r="6" customFormat="false" ht="36" hidden="false" customHeight="true" outlineLevel="0" collapsed="false">
      <c r="A6" s="3" t="s">
        <v>473</v>
      </c>
      <c r="B6" s="3" t="s">
        <v>474</v>
      </c>
      <c r="C6" s="3" t="s">
        <v>475</v>
      </c>
      <c r="D6" s="3" t="s">
        <v>116</v>
      </c>
      <c r="E6" s="3" t="s">
        <v>476</v>
      </c>
      <c r="F6" s="3" t="s">
        <v>470</v>
      </c>
      <c r="G6" s="3" t="s">
        <v>477</v>
      </c>
      <c r="H6" s="3" t="s">
        <v>478</v>
      </c>
    </row>
    <row r="7" customFormat="false" ht="36" hidden="false" customHeight="true" outlineLevel="0" collapsed="false">
      <c r="A7" s="3" t="s">
        <v>479</v>
      </c>
      <c r="B7" s="3" t="s">
        <v>480</v>
      </c>
      <c r="C7" s="3" t="s">
        <v>481</v>
      </c>
      <c r="D7" s="3" t="s">
        <v>116</v>
      </c>
      <c r="E7" s="3" t="s">
        <v>482</v>
      </c>
      <c r="F7" s="3" t="s">
        <v>470</v>
      </c>
      <c r="G7" s="3" t="s">
        <v>483</v>
      </c>
      <c r="H7" s="3" t="s">
        <v>484</v>
      </c>
    </row>
    <row r="8" customFormat="false" ht="36" hidden="false" customHeight="true" outlineLevel="0" collapsed="false">
      <c r="A8" s="3" t="s">
        <v>485</v>
      </c>
      <c r="B8" s="3" t="s">
        <v>486</v>
      </c>
      <c r="C8" s="3" t="s">
        <v>487</v>
      </c>
      <c r="D8" s="3" t="s">
        <v>488</v>
      </c>
      <c r="E8" s="3" t="s">
        <v>489</v>
      </c>
      <c r="F8" s="3" t="s">
        <v>490</v>
      </c>
      <c r="G8" s="3" t="s">
        <v>491</v>
      </c>
      <c r="H8" s="3" t="s">
        <v>492</v>
      </c>
    </row>
    <row r="9" customFormat="false" ht="36" hidden="false" customHeight="true" outlineLevel="0" collapsed="false">
      <c r="A9" s="3" t="s">
        <v>493</v>
      </c>
      <c r="B9" s="3" t="s">
        <v>494</v>
      </c>
      <c r="C9" s="3" t="s">
        <v>495</v>
      </c>
      <c r="D9" s="3" t="s">
        <v>116</v>
      </c>
      <c r="E9" s="3" t="s">
        <v>496</v>
      </c>
      <c r="F9" s="3" t="s">
        <v>470</v>
      </c>
      <c r="G9" s="3" t="s">
        <v>116</v>
      </c>
      <c r="H9" s="3" t="s">
        <v>497</v>
      </c>
    </row>
    <row r="10" customFormat="false" ht="36" hidden="false" customHeight="true" outlineLevel="0" collapsed="false">
      <c r="A10" s="3" t="s">
        <v>498</v>
      </c>
      <c r="B10" s="3" t="s">
        <v>499</v>
      </c>
      <c r="C10" s="3" t="s">
        <v>500</v>
      </c>
      <c r="D10" s="3" t="s">
        <v>501</v>
      </c>
      <c r="E10" s="3" t="s">
        <v>502</v>
      </c>
      <c r="F10" s="3" t="s">
        <v>503</v>
      </c>
      <c r="G10" s="3" t="s">
        <v>504</v>
      </c>
      <c r="H10" s="3" t="s">
        <v>505</v>
      </c>
    </row>
    <row r="11" customFormat="false" ht="36" hidden="false" customHeight="true" outlineLevel="0" collapsed="false">
      <c r="A11" s="3" t="s">
        <v>506</v>
      </c>
      <c r="B11" s="3" t="s">
        <v>507</v>
      </c>
      <c r="C11" s="3" t="s">
        <v>481</v>
      </c>
      <c r="D11" s="3" t="s">
        <v>508</v>
      </c>
      <c r="E11" s="3" t="s">
        <v>509</v>
      </c>
      <c r="F11" s="3" t="s">
        <v>510</v>
      </c>
      <c r="G11" s="3" t="s">
        <v>477</v>
      </c>
      <c r="H11" s="3" t="s">
        <v>511</v>
      </c>
    </row>
    <row r="12" customFormat="false" ht="36" hidden="false" customHeight="true" outlineLevel="0" collapsed="false">
      <c r="A12" s="3" t="s">
        <v>512</v>
      </c>
      <c r="B12" s="3" t="s">
        <v>513</v>
      </c>
      <c r="C12" s="3" t="s">
        <v>495</v>
      </c>
      <c r="D12" s="3" t="s">
        <v>116</v>
      </c>
      <c r="E12" s="3" t="s">
        <v>514</v>
      </c>
      <c r="F12" s="3" t="s">
        <v>470</v>
      </c>
      <c r="G12" s="3" t="s">
        <v>515</v>
      </c>
      <c r="H12" s="3" t="s">
        <v>516</v>
      </c>
    </row>
    <row r="13" customFormat="false" ht="36" hidden="false" customHeight="true" outlineLevel="0" collapsed="false">
      <c r="A13" s="3" t="s">
        <v>517</v>
      </c>
      <c r="B13" s="3" t="s">
        <v>302</v>
      </c>
      <c r="C13" s="3" t="s">
        <v>481</v>
      </c>
      <c r="D13" s="3" t="s">
        <v>518</v>
      </c>
      <c r="E13" s="3" t="s">
        <v>519</v>
      </c>
      <c r="F13" s="3" t="s">
        <v>470</v>
      </c>
      <c r="G13" s="3" t="s">
        <v>515</v>
      </c>
      <c r="H13" s="3" t="s">
        <v>520</v>
      </c>
    </row>
    <row r="16" customFormat="false" ht="21.75" hidden="false" customHeight="true" outlineLevel="0" collapsed="false">
      <c r="A16" s="2" t="s">
        <v>521</v>
      </c>
      <c r="B16" s="2"/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25" t="s">
        <v>522</v>
      </c>
      <c r="B17" s="25"/>
      <c r="C17" s="25"/>
      <c r="D17" s="25"/>
      <c r="E17" s="25"/>
      <c r="F17" s="25"/>
      <c r="G17" s="25"/>
      <c r="H17" s="25"/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25"/>
      <c r="G18" s="25"/>
      <c r="H18" s="25"/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5"/>
      <c r="G19" s="25"/>
      <c r="H19" s="25"/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25"/>
      <c r="G20" s="25"/>
      <c r="H20" s="25"/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5"/>
      <c r="G22" s="25"/>
      <c r="H22" s="25"/>
    </row>
  </sheetData>
  <mergeCells count="4">
    <mergeCell ref="A1:H1"/>
    <mergeCell ref="A3:H3"/>
    <mergeCell ref="A16:H16"/>
    <mergeCell ref="A17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7" min="4" style="0" width="18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523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524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5" t="s">
        <v>525</v>
      </c>
      <c r="B4" s="5" t="s">
        <v>526</v>
      </c>
      <c r="C4" s="5" t="s">
        <v>527</v>
      </c>
      <c r="D4" s="5" t="s">
        <v>528</v>
      </c>
      <c r="E4" s="5" t="s">
        <v>529</v>
      </c>
      <c r="F4" s="5" t="s">
        <v>530</v>
      </c>
      <c r="G4" s="5" t="s">
        <v>531</v>
      </c>
      <c r="H4" s="5" t="s">
        <v>532</v>
      </c>
    </row>
    <row r="5" customFormat="false" ht="60" hidden="false" customHeight="true" outlineLevel="0" collapsed="false">
      <c r="A5" s="3" t="n">
        <v>1</v>
      </c>
      <c r="B5" s="3" t="s">
        <v>533</v>
      </c>
      <c r="C5" s="3" t="s">
        <v>534</v>
      </c>
      <c r="D5" s="3" t="s">
        <v>535</v>
      </c>
      <c r="E5" s="11" t="n">
        <v>130000000</v>
      </c>
      <c r="F5" s="3" t="s">
        <v>536</v>
      </c>
      <c r="G5" s="3" t="s">
        <v>537</v>
      </c>
      <c r="H5" s="3" t="s">
        <v>538</v>
      </c>
    </row>
    <row r="6" customFormat="false" ht="60" hidden="false" customHeight="true" outlineLevel="0" collapsed="false">
      <c r="A6" s="3" t="n">
        <v>2</v>
      </c>
      <c r="B6" s="3" t="s">
        <v>539</v>
      </c>
      <c r="C6" s="3" t="s">
        <v>540</v>
      </c>
      <c r="D6" s="3" t="s">
        <v>541</v>
      </c>
      <c r="E6" s="11" t="n">
        <v>80000000</v>
      </c>
      <c r="F6" s="3" t="s">
        <v>542</v>
      </c>
      <c r="G6" s="3" t="s">
        <v>537</v>
      </c>
      <c r="H6" s="3" t="s">
        <v>543</v>
      </c>
    </row>
    <row r="7" customFormat="false" ht="60" hidden="false" customHeight="true" outlineLevel="0" collapsed="false">
      <c r="A7" s="3" t="n">
        <v>3</v>
      </c>
      <c r="B7" s="3" t="s">
        <v>544</v>
      </c>
      <c r="C7" s="3" t="s">
        <v>545</v>
      </c>
      <c r="D7" s="3" t="s">
        <v>546</v>
      </c>
      <c r="E7" s="11" t="n">
        <v>65000000</v>
      </c>
      <c r="F7" s="3" t="s">
        <v>547</v>
      </c>
      <c r="G7" s="3" t="s">
        <v>537</v>
      </c>
      <c r="H7" s="3" t="s">
        <v>548</v>
      </c>
    </row>
    <row r="8" customFormat="false" ht="60" hidden="false" customHeight="true" outlineLevel="0" collapsed="false">
      <c r="A8" s="3" t="n">
        <v>4</v>
      </c>
      <c r="B8" s="3" t="s">
        <v>549</v>
      </c>
      <c r="C8" s="3" t="s">
        <v>550</v>
      </c>
      <c r="D8" s="3" t="s">
        <v>551</v>
      </c>
      <c r="E8" s="11" t="n">
        <v>250000000</v>
      </c>
      <c r="F8" s="3" t="s">
        <v>552</v>
      </c>
      <c r="G8" s="3" t="s">
        <v>537</v>
      </c>
      <c r="H8" s="3" t="s">
        <v>553</v>
      </c>
    </row>
    <row r="9" customFormat="false" ht="60" hidden="false" customHeight="true" outlineLevel="0" collapsed="false">
      <c r="A9" s="3" t="n">
        <v>5</v>
      </c>
      <c r="B9" s="3" t="s">
        <v>554</v>
      </c>
      <c r="C9" s="3" t="s">
        <v>555</v>
      </c>
      <c r="D9" s="3" t="s">
        <v>556</v>
      </c>
      <c r="E9" s="11" t="n">
        <v>25000000</v>
      </c>
      <c r="F9" s="3" t="s">
        <v>557</v>
      </c>
      <c r="G9" s="3" t="s">
        <v>558</v>
      </c>
      <c r="H9" s="3" t="s">
        <v>559</v>
      </c>
    </row>
    <row r="10" customFormat="false" ht="60" hidden="false" customHeight="true" outlineLevel="0" collapsed="false">
      <c r="A10" s="3" t="n">
        <v>6</v>
      </c>
      <c r="B10" s="3" t="s">
        <v>560</v>
      </c>
      <c r="C10" s="3" t="s">
        <v>561</v>
      </c>
      <c r="D10" s="3" t="s">
        <v>562</v>
      </c>
      <c r="E10" s="11" t="n">
        <v>15000000</v>
      </c>
      <c r="F10" s="3" t="s">
        <v>563</v>
      </c>
      <c r="G10" s="3" t="s">
        <v>558</v>
      </c>
      <c r="H10" s="3" t="s">
        <v>564</v>
      </c>
    </row>
    <row r="11" customFormat="false" ht="60" hidden="false" customHeight="true" outlineLevel="0" collapsed="false">
      <c r="A11" s="3" t="n">
        <v>7</v>
      </c>
      <c r="B11" s="3" t="s">
        <v>565</v>
      </c>
      <c r="C11" s="3" t="s">
        <v>566</v>
      </c>
      <c r="D11" s="3" t="s">
        <v>567</v>
      </c>
      <c r="E11" s="11" t="n">
        <v>8000000</v>
      </c>
      <c r="F11" s="3" t="s">
        <v>542</v>
      </c>
      <c r="G11" s="3" t="s">
        <v>558</v>
      </c>
      <c r="H11" s="3" t="s">
        <v>568</v>
      </c>
    </row>
    <row r="12" customFormat="false" ht="60" hidden="false" customHeight="true" outlineLevel="0" collapsed="false">
      <c r="A12" s="3" t="n">
        <v>8</v>
      </c>
      <c r="B12" s="3" t="s">
        <v>569</v>
      </c>
      <c r="C12" s="3" t="s">
        <v>570</v>
      </c>
      <c r="D12" s="3" t="s">
        <v>571</v>
      </c>
      <c r="E12" s="11" t="n">
        <v>4000000</v>
      </c>
      <c r="F12" s="3" t="s">
        <v>572</v>
      </c>
      <c r="G12" s="3" t="s">
        <v>573</v>
      </c>
      <c r="H12" s="3" t="s">
        <v>574</v>
      </c>
    </row>
    <row r="13" customFormat="false" ht="60" hidden="false" customHeight="true" outlineLevel="0" collapsed="false">
      <c r="A13" s="3" t="n">
        <v>9</v>
      </c>
      <c r="B13" s="3" t="s">
        <v>575</v>
      </c>
      <c r="C13" s="3" t="s">
        <v>576</v>
      </c>
      <c r="D13" s="3" t="s">
        <v>116</v>
      </c>
      <c r="E13" s="11" t="n">
        <v>6000000</v>
      </c>
      <c r="F13" s="3" t="s">
        <v>577</v>
      </c>
      <c r="G13" s="3" t="s">
        <v>573</v>
      </c>
      <c r="H13" s="3" t="s">
        <v>578</v>
      </c>
    </row>
    <row r="14" customFormat="false" ht="60" hidden="false" customHeight="true" outlineLevel="0" collapsed="false">
      <c r="A14" s="3" t="n">
        <v>10</v>
      </c>
      <c r="B14" s="3" t="s">
        <v>579</v>
      </c>
      <c r="C14" s="3" t="s">
        <v>580</v>
      </c>
      <c r="D14" s="3" t="s">
        <v>116</v>
      </c>
      <c r="E14" s="11" t="n">
        <v>3500000</v>
      </c>
      <c r="F14" s="3" t="s">
        <v>581</v>
      </c>
      <c r="G14" s="3" t="s">
        <v>573</v>
      </c>
      <c r="H14" s="3" t="s">
        <v>582</v>
      </c>
    </row>
    <row r="15" customFormat="false" ht="15" hidden="false" customHeight="false" outlineLevel="0" collapsed="false">
      <c r="A15" s="14"/>
      <c r="B15" s="13" t="s">
        <v>583</v>
      </c>
      <c r="C15" s="14"/>
      <c r="D15" s="14"/>
      <c r="E15" s="15" t="n">
        <f aca="false">SUM(E5:E14)</f>
        <v>586500000</v>
      </c>
      <c r="F15" s="14"/>
      <c r="G15" s="14"/>
      <c r="H15" s="14"/>
    </row>
    <row r="17" customFormat="false" ht="21.75" hidden="false" customHeight="true" outlineLevel="0" collapsed="false">
      <c r="A17" s="2" t="s">
        <v>584</v>
      </c>
      <c r="B17" s="2"/>
      <c r="C17" s="2"/>
      <c r="D17" s="2"/>
      <c r="E17" s="2"/>
      <c r="F17" s="2"/>
      <c r="G17" s="2"/>
      <c r="H17" s="2"/>
    </row>
    <row r="18" customFormat="false" ht="27.75" hidden="false" customHeight="true" outlineLevel="0" collapsed="false">
      <c r="A18" s="5" t="s">
        <v>585</v>
      </c>
      <c r="B18" s="5" t="s">
        <v>586</v>
      </c>
      <c r="C18" s="5" t="s">
        <v>587</v>
      </c>
      <c r="D18" s="5" t="s">
        <v>588</v>
      </c>
      <c r="E18" s="5" t="s">
        <v>589</v>
      </c>
      <c r="F18" s="5" t="s">
        <v>590</v>
      </c>
      <c r="G18" s="5"/>
      <c r="H18" s="5"/>
    </row>
    <row r="19" customFormat="false" ht="39.75" hidden="false" customHeight="true" outlineLevel="0" collapsed="false">
      <c r="A19" s="3" t="s">
        <v>591</v>
      </c>
      <c r="B19" s="3" t="s">
        <v>592</v>
      </c>
      <c r="C19" s="3" t="s">
        <v>593</v>
      </c>
      <c r="D19" s="3" t="s">
        <v>594</v>
      </c>
      <c r="E19" s="3" t="s">
        <v>595</v>
      </c>
      <c r="F19" s="3" t="s">
        <v>116</v>
      </c>
    </row>
    <row r="20" customFormat="false" ht="39.75" hidden="false" customHeight="true" outlineLevel="0" collapsed="false">
      <c r="A20" s="3" t="s">
        <v>591</v>
      </c>
      <c r="B20" s="3" t="s">
        <v>596</v>
      </c>
      <c r="C20" s="3" t="s">
        <v>597</v>
      </c>
      <c r="D20" s="3" t="s">
        <v>594</v>
      </c>
      <c r="E20" s="3" t="s">
        <v>598</v>
      </c>
      <c r="F20" s="3" t="s">
        <v>116</v>
      </c>
    </row>
    <row r="21" customFormat="false" ht="39.75" hidden="false" customHeight="true" outlineLevel="0" collapsed="false">
      <c r="A21" s="3" t="s">
        <v>599</v>
      </c>
      <c r="B21" s="3" t="s">
        <v>600</v>
      </c>
      <c r="C21" s="3" t="s">
        <v>601</v>
      </c>
      <c r="D21" s="3" t="s">
        <v>602</v>
      </c>
      <c r="E21" s="3" t="s">
        <v>603</v>
      </c>
      <c r="F21" s="3" t="s">
        <v>116</v>
      </c>
    </row>
    <row r="22" customFormat="false" ht="39.75" hidden="false" customHeight="true" outlineLevel="0" collapsed="false">
      <c r="A22" s="3" t="s">
        <v>599</v>
      </c>
      <c r="B22" s="3" t="s">
        <v>604</v>
      </c>
      <c r="C22" s="3" t="s">
        <v>605</v>
      </c>
      <c r="D22" s="3" t="s">
        <v>602</v>
      </c>
      <c r="E22" s="3" t="s">
        <v>606</v>
      </c>
      <c r="F22" s="3" t="s">
        <v>116</v>
      </c>
    </row>
    <row r="23" customFormat="false" ht="39.75" hidden="false" customHeight="true" outlineLevel="0" collapsed="false">
      <c r="A23" s="3" t="s">
        <v>607</v>
      </c>
      <c r="B23" s="3" t="s">
        <v>608</v>
      </c>
      <c r="C23" s="3" t="s">
        <v>609</v>
      </c>
      <c r="D23" s="3" t="s">
        <v>610</v>
      </c>
      <c r="E23" s="3" t="s">
        <v>611</v>
      </c>
      <c r="F23" s="3" t="s">
        <v>116</v>
      </c>
    </row>
    <row r="24" customFormat="false" ht="39.75" hidden="false" customHeight="true" outlineLevel="0" collapsed="false">
      <c r="A24" s="3" t="s">
        <v>607</v>
      </c>
      <c r="B24" s="3" t="s">
        <v>612</v>
      </c>
      <c r="C24" s="3" t="s">
        <v>613</v>
      </c>
      <c r="D24" s="3" t="s">
        <v>610</v>
      </c>
      <c r="E24" s="3" t="s">
        <v>614</v>
      </c>
      <c r="F24" s="3" t="s">
        <v>116</v>
      </c>
    </row>
    <row r="25" customFormat="false" ht="39.75" hidden="false" customHeight="true" outlineLevel="0" collapsed="false">
      <c r="A25" s="3" t="s">
        <v>615</v>
      </c>
      <c r="B25" s="3" t="s">
        <v>616</v>
      </c>
      <c r="C25" s="3" t="s">
        <v>617</v>
      </c>
      <c r="D25" s="3" t="s">
        <v>618</v>
      </c>
      <c r="E25" s="3" t="s">
        <v>619</v>
      </c>
      <c r="F25" s="3" t="s">
        <v>116</v>
      </c>
    </row>
    <row r="26" customFormat="false" ht="39.75" hidden="false" customHeight="true" outlineLevel="0" collapsed="false">
      <c r="A26" s="3" t="s">
        <v>615</v>
      </c>
      <c r="B26" s="3" t="s">
        <v>620</v>
      </c>
      <c r="C26" s="3" t="s">
        <v>621</v>
      </c>
      <c r="D26" s="3" t="s">
        <v>618</v>
      </c>
      <c r="E26" s="3" t="s">
        <v>622</v>
      </c>
      <c r="F26" s="3" t="s">
        <v>116</v>
      </c>
    </row>
  </sheetData>
  <mergeCells count="3">
    <mergeCell ref="A1:H1"/>
    <mergeCell ref="A3:H3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70"/>
    <col collapsed="false" customWidth="true" hidden="false" outlineLevel="0" max="8" min="4" style="0" width="18"/>
  </cols>
  <sheetData>
    <row r="1" customFormat="false" ht="30" hidden="false" customHeight="true" outlineLevel="0" collapsed="false">
      <c r="A1" s="1" t="s">
        <v>623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624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5" t="s">
        <v>525</v>
      </c>
      <c r="B4" s="5" t="s">
        <v>625</v>
      </c>
      <c r="C4" s="5" t="s">
        <v>626</v>
      </c>
      <c r="D4" s="5"/>
      <c r="E4" s="5"/>
      <c r="F4" s="5"/>
      <c r="G4" s="5"/>
      <c r="H4" s="5"/>
    </row>
    <row r="5" customFormat="false" ht="23.85" hidden="false" customHeight="false" outlineLevel="0" collapsed="false">
      <c r="A5" s="3" t="n">
        <v>1</v>
      </c>
      <c r="B5" s="3" t="s">
        <v>627</v>
      </c>
      <c r="C5" s="3" t="s">
        <v>628</v>
      </c>
    </row>
    <row r="6" customFormat="false" ht="23.85" hidden="false" customHeight="false" outlineLevel="0" collapsed="false">
      <c r="A6" s="3" t="n">
        <v>2</v>
      </c>
      <c r="B6" s="3" t="s">
        <v>629</v>
      </c>
      <c r="C6" s="3" t="s">
        <v>630</v>
      </c>
    </row>
    <row r="7" customFormat="false" ht="15" hidden="false" customHeight="false" outlineLevel="0" collapsed="false">
      <c r="A7" s="3" t="n">
        <v>3</v>
      </c>
      <c r="B7" s="3" t="s">
        <v>631</v>
      </c>
      <c r="C7" s="3" t="s">
        <v>632</v>
      </c>
    </row>
    <row r="8" customFormat="false" ht="15" hidden="false" customHeight="false" outlineLevel="0" collapsed="false">
      <c r="A8" s="3" t="n">
        <v>4</v>
      </c>
      <c r="B8" s="3" t="s">
        <v>633</v>
      </c>
      <c r="C8" s="3" t="s">
        <v>634</v>
      </c>
    </row>
    <row r="9" customFormat="false" ht="15" hidden="false" customHeight="false" outlineLevel="0" collapsed="false">
      <c r="A9" s="3" t="n">
        <v>5</v>
      </c>
      <c r="B9" s="3" t="s">
        <v>635</v>
      </c>
      <c r="C9" s="3" t="s">
        <v>636</v>
      </c>
    </row>
    <row r="10" customFormat="false" ht="15" hidden="false" customHeight="false" outlineLevel="0" collapsed="false">
      <c r="A10" s="3" t="n">
        <v>6</v>
      </c>
      <c r="B10" s="3" t="s">
        <v>637</v>
      </c>
      <c r="C10" s="3" t="s">
        <v>638</v>
      </c>
    </row>
    <row r="11" customFormat="false" ht="15" hidden="false" customHeight="false" outlineLevel="0" collapsed="false">
      <c r="A11" s="3" t="n">
        <v>7</v>
      </c>
      <c r="B11" s="3" t="s">
        <v>639</v>
      </c>
      <c r="C11" s="3" t="s">
        <v>640</v>
      </c>
    </row>
    <row r="12" customFormat="false" ht="15" hidden="false" customHeight="false" outlineLevel="0" collapsed="false">
      <c r="A12" s="3" t="n">
        <v>8</v>
      </c>
      <c r="B12" s="3" t="s">
        <v>641</v>
      </c>
      <c r="C12" s="3" t="s">
        <v>642</v>
      </c>
    </row>
    <row r="14" customFormat="false" ht="21.75" hidden="false" customHeight="true" outlineLevel="0" collapsed="false">
      <c r="A14" s="2" t="s">
        <v>643</v>
      </c>
      <c r="B14" s="2"/>
      <c r="C14" s="2"/>
      <c r="D14" s="2"/>
      <c r="E14" s="2"/>
      <c r="F14" s="2"/>
      <c r="G14" s="2"/>
      <c r="H14" s="2"/>
    </row>
    <row r="15" customFormat="false" ht="27.75" hidden="false" customHeight="true" outlineLevel="0" collapsed="false">
      <c r="A15" s="5" t="s">
        <v>525</v>
      </c>
      <c r="B15" s="5" t="s">
        <v>625</v>
      </c>
      <c r="C15" s="5" t="s">
        <v>626</v>
      </c>
      <c r="D15" s="5"/>
      <c r="E15" s="5"/>
      <c r="F15" s="5"/>
      <c r="G15" s="5"/>
      <c r="H15" s="5"/>
    </row>
    <row r="16" customFormat="false" ht="23.85" hidden="false" customHeight="false" outlineLevel="0" collapsed="false">
      <c r="A16" s="3" t="n">
        <v>3</v>
      </c>
      <c r="B16" s="3" t="s">
        <v>644</v>
      </c>
      <c r="C16" s="3" t="s">
        <v>645</v>
      </c>
    </row>
    <row r="17" customFormat="false" ht="23.85" hidden="false" customHeight="false" outlineLevel="0" collapsed="false">
      <c r="A17" s="3" t="n">
        <v>4</v>
      </c>
      <c r="B17" s="3" t="s">
        <v>646</v>
      </c>
      <c r="C17" s="3" t="s">
        <v>647</v>
      </c>
    </row>
    <row r="18" customFormat="false" ht="23.85" hidden="false" customHeight="false" outlineLevel="0" collapsed="false">
      <c r="A18" s="3" t="n">
        <v>5</v>
      </c>
      <c r="B18" s="3" t="s">
        <v>648</v>
      </c>
      <c r="C18" s="3" t="s">
        <v>649</v>
      </c>
    </row>
    <row r="19" customFormat="false" ht="23.85" hidden="false" customHeight="false" outlineLevel="0" collapsed="false">
      <c r="A19" s="3" t="n">
        <v>6</v>
      </c>
      <c r="B19" s="3" t="s">
        <v>650</v>
      </c>
      <c r="C19" s="3" t="s">
        <v>651</v>
      </c>
    </row>
    <row r="20" customFormat="false" ht="23.85" hidden="false" customHeight="false" outlineLevel="0" collapsed="false">
      <c r="A20" s="3" t="n">
        <v>7</v>
      </c>
      <c r="B20" s="3" t="s">
        <v>652</v>
      </c>
      <c r="C20" s="3" t="s">
        <v>653</v>
      </c>
    </row>
    <row r="21" customFormat="false" ht="23.85" hidden="false" customHeight="false" outlineLevel="0" collapsed="false">
      <c r="A21" s="3" t="n">
        <v>8</v>
      </c>
      <c r="B21" s="3" t="s">
        <v>654</v>
      </c>
      <c r="C21" s="3" t="s">
        <v>655</v>
      </c>
    </row>
    <row r="22" customFormat="false" ht="15" hidden="false" customHeight="false" outlineLevel="0" collapsed="false">
      <c r="A22" s="3" t="n">
        <v>9</v>
      </c>
      <c r="B22" s="3" t="s">
        <v>656</v>
      </c>
      <c r="C22" s="3" t="s">
        <v>657</v>
      </c>
    </row>
    <row r="24" customFormat="false" ht="21.75" hidden="false" customHeight="true" outlineLevel="0" collapsed="false">
      <c r="A24" s="2" t="s">
        <v>658</v>
      </c>
      <c r="B24" s="2"/>
      <c r="C24" s="2"/>
      <c r="D24" s="2"/>
      <c r="E24" s="2"/>
      <c r="F24" s="2"/>
      <c r="G24" s="2"/>
      <c r="H24" s="2"/>
    </row>
    <row r="25" customFormat="false" ht="27.75" hidden="false" customHeight="true" outlineLevel="0" collapsed="false">
      <c r="A25" s="5" t="s">
        <v>525</v>
      </c>
      <c r="B25" s="5" t="s">
        <v>625</v>
      </c>
      <c r="C25" s="5" t="s">
        <v>626</v>
      </c>
      <c r="D25" s="5"/>
      <c r="E25" s="5"/>
      <c r="F25" s="5"/>
      <c r="G25" s="5"/>
      <c r="H25" s="5"/>
    </row>
    <row r="26" customFormat="false" ht="23.85" hidden="false" customHeight="false" outlineLevel="0" collapsed="false">
      <c r="A26" s="3" t="n">
        <v>5</v>
      </c>
      <c r="B26" s="3" t="s">
        <v>659</v>
      </c>
      <c r="C26" s="3" t="s">
        <v>660</v>
      </c>
    </row>
    <row r="27" customFormat="false" ht="23.85" hidden="false" customHeight="false" outlineLevel="0" collapsed="false">
      <c r="A27" s="3" t="n">
        <v>6</v>
      </c>
      <c r="B27" s="3" t="s">
        <v>661</v>
      </c>
      <c r="C27" s="3" t="s">
        <v>662</v>
      </c>
    </row>
    <row r="28" customFormat="false" ht="23.85" hidden="false" customHeight="false" outlineLevel="0" collapsed="false">
      <c r="A28" s="3" t="n">
        <v>7</v>
      </c>
      <c r="B28" s="3" t="s">
        <v>663</v>
      </c>
      <c r="C28" s="3" t="s">
        <v>664</v>
      </c>
    </row>
    <row r="29" customFormat="false" ht="15" hidden="false" customHeight="false" outlineLevel="0" collapsed="false">
      <c r="A29" s="3" t="n">
        <v>8</v>
      </c>
      <c r="B29" s="3" t="s">
        <v>665</v>
      </c>
      <c r="C29" s="3" t="s">
        <v>666</v>
      </c>
    </row>
    <row r="30" customFormat="false" ht="15" hidden="false" customHeight="false" outlineLevel="0" collapsed="false">
      <c r="A30" s="3" t="n">
        <v>9</v>
      </c>
      <c r="B30" s="3" t="s">
        <v>667</v>
      </c>
      <c r="C30" s="3" t="s">
        <v>668</v>
      </c>
    </row>
    <row r="31" customFormat="false" ht="23.85" hidden="false" customHeight="false" outlineLevel="0" collapsed="false">
      <c r="A31" s="3" t="n">
        <v>10</v>
      </c>
      <c r="B31" s="3" t="s">
        <v>669</v>
      </c>
      <c r="C31" s="3" t="s">
        <v>670</v>
      </c>
    </row>
    <row r="32" customFormat="false" ht="23.85" hidden="false" customHeight="false" outlineLevel="0" collapsed="false">
      <c r="A32" s="3" t="n">
        <v>11</v>
      </c>
      <c r="B32" s="3" t="s">
        <v>671</v>
      </c>
      <c r="C32" s="3" t="s">
        <v>672</v>
      </c>
    </row>
    <row r="33" customFormat="false" ht="23.85" hidden="false" customHeight="false" outlineLevel="0" collapsed="false">
      <c r="A33" s="3" t="n">
        <v>12</v>
      </c>
      <c r="B33" s="3" t="s">
        <v>673</v>
      </c>
      <c r="C33" s="3" t="s">
        <v>674</v>
      </c>
    </row>
    <row r="35" customFormat="false" ht="21.75" hidden="false" customHeight="true" outlineLevel="0" collapsed="false">
      <c r="A35" s="2" t="s">
        <v>675</v>
      </c>
      <c r="B35" s="2"/>
      <c r="C35" s="2"/>
      <c r="D35" s="2"/>
      <c r="E35" s="2"/>
      <c r="F35" s="2"/>
      <c r="G35" s="2"/>
      <c r="H35" s="2"/>
    </row>
    <row r="36" customFormat="false" ht="27.75" hidden="false" customHeight="true" outlineLevel="0" collapsed="false">
      <c r="A36" s="5" t="s">
        <v>525</v>
      </c>
      <c r="B36" s="5" t="s">
        <v>676</v>
      </c>
      <c r="C36" s="5" t="s">
        <v>677</v>
      </c>
      <c r="D36" s="5"/>
      <c r="E36" s="5"/>
      <c r="F36" s="5"/>
      <c r="G36" s="5"/>
      <c r="H36" s="5"/>
    </row>
    <row r="37" customFormat="false" ht="31.5" hidden="false" customHeight="true" outlineLevel="0" collapsed="false">
      <c r="A37" s="3" t="n">
        <v>7</v>
      </c>
      <c r="B37" s="3" t="s">
        <v>678</v>
      </c>
      <c r="C37" s="3" t="s">
        <v>679</v>
      </c>
    </row>
    <row r="38" customFormat="false" ht="31.5" hidden="false" customHeight="true" outlineLevel="0" collapsed="false">
      <c r="A38" s="3" t="n">
        <v>8</v>
      </c>
      <c r="B38" s="3" t="s">
        <v>680</v>
      </c>
      <c r="C38" s="3" t="s">
        <v>681</v>
      </c>
    </row>
    <row r="39" customFormat="false" ht="31.5" hidden="false" customHeight="true" outlineLevel="0" collapsed="false">
      <c r="A39" s="3" t="n">
        <v>9</v>
      </c>
      <c r="B39" s="3" t="s">
        <v>682</v>
      </c>
      <c r="C39" s="3" t="s">
        <v>683</v>
      </c>
    </row>
    <row r="40" customFormat="false" ht="31.5" hidden="false" customHeight="true" outlineLevel="0" collapsed="false">
      <c r="A40" s="3" t="n">
        <v>10</v>
      </c>
      <c r="B40" s="3" t="s">
        <v>684</v>
      </c>
      <c r="C40" s="3" t="s">
        <v>685</v>
      </c>
    </row>
    <row r="41" customFormat="false" ht="31.5" hidden="false" customHeight="true" outlineLevel="0" collapsed="false">
      <c r="A41" s="3" t="n">
        <v>11</v>
      </c>
      <c r="B41" s="3" t="s">
        <v>686</v>
      </c>
      <c r="C41" s="3" t="s">
        <v>687</v>
      </c>
    </row>
    <row r="42" customFormat="false" ht="31.5" hidden="false" customHeight="true" outlineLevel="0" collapsed="false">
      <c r="A42" s="3" t="n">
        <v>12</v>
      </c>
      <c r="B42" s="3" t="s">
        <v>688</v>
      </c>
      <c r="C42" s="3" t="s">
        <v>689</v>
      </c>
    </row>
    <row r="43" customFormat="false" ht="31.5" hidden="false" customHeight="true" outlineLevel="0" collapsed="false">
      <c r="A43" s="3" t="n">
        <v>13</v>
      </c>
      <c r="B43" s="3" t="s">
        <v>690</v>
      </c>
      <c r="C43" s="3" t="s">
        <v>691</v>
      </c>
    </row>
    <row r="44" customFormat="false" ht="31.5" hidden="false" customHeight="true" outlineLevel="0" collapsed="false">
      <c r="A44" s="3" t="n">
        <v>14</v>
      </c>
      <c r="B44" s="3" t="s">
        <v>692</v>
      </c>
      <c r="C44" s="3" t="s">
        <v>693</v>
      </c>
    </row>
    <row r="45" customFormat="false" ht="31.5" hidden="false" customHeight="true" outlineLevel="0" collapsed="false">
      <c r="A45" s="3" t="n">
        <v>15</v>
      </c>
      <c r="B45" s="3" t="s">
        <v>694</v>
      </c>
      <c r="C45" s="3" t="s">
        <v>695</v>
      </c>
    </row>
    <row r="46" customFormat="false" ht="31.5" hidden="false" customHeight="true" outlineLevel="0" collapsed="false">
      <c r="A46" s="3" t="n">
        <v>16</v>
      </c>
      <c r="B46" s="3" t="s">
        <v>696</v>
      </c>
      <c r="C46" s="3" t="s">
        <v>697</v>
      </c>
    </row>
    <row r="47" customFormat="false" ht="31.5" hidden="false" customHeight="true" outlineLevel="0" collapsed="false">
      <c r="A47" s="3" t="n">
        <v>17</v>
      </c>
      <c r="B47" s="3" t="s">
        <v>698</v>
      </c>
      <c r="C47" s="3" t="s">
        <v>699</v>
      </c>
    </row>
    <row r="48" customFormat="false" ht="31.5" hidden="false" customHeight="true" outlineLevel="0" collapsed="false">
      <c r="A48" s="3" t="n">
        <v>18</v>
      </c>
      <c r="B48" s="3" t="s">
        <v>700</v>
      </c>
      <c r="C48" s="3" t="s">
        <v>701</v>
      </c>
    </row>
    <row r="49" customFormat="false" ht="31.5" hidden="false" customHeight="true" outlineLevel="0" collapsed="false">
      <c r="A49" s="3" t="n">
        <v>19</v>
      </c>
      <c r="B49" s="3" t="s">
        <v>702</v>
      </c>
      <c r="C49" s="3" t="s">
        <v>703</v>
      </c>
    </row>
    <row r="51" customFormat="false" ht="21.75" hidden="false" customHeight="true" outlineLevel="0" collapsed="false">
      <c r="A51" s="2" t="s">
        <v>704</v>
      </c>
      <c r="B51" s="2"/>
      <c r="C51" s="2"/>
      <c r="D51" s="2"/>
      <c r="E51" s="2"/>
      <c r="F51" s="2"/>
      <c r="G51" s="2"/>
      <c r="H51" s="2"/>
    </row>
    <row r="52" customFormat="false" ht="27.75" hidden="false" customHeight="true" outlineLevel="0" collapsed="false">
      <c r="A52" s="5" t="s">
        <v>525</v>
      </c>
      <c r="B52" s="5" t="s">
        <v>705</v>
      </c>
      <c r="C52" s="5" t="s">
        <v>706</v>
      </c>
      <c r="D52" s="5"/>
      <c r="E52" s="5"/>
      <c r="F52" s="5"/>
      <c r="G52" s="5"/>
      <c r="H52" s="5"/>
    </row>
    <row r="53" customFormat="false" ht="15" hidden="false" customHeight="false" outlineLevel="0" collapsed="false">
      <c r="A53" s="3" t="n">
        <v>9</v>
      </c>
      <c r="B53" s="3" t="s">
        <v>707</v>
      </c>
      <c r="C53" s="3" t="s">
        <v>708</v>
      </c>
    </row>
    <row r="54" customFormat="false" ht="15" hidden="false" customHeight="false" outlineLevel="0" collapsed="false">
      <c r="A54" s="3" t="n">
        <v>10</v>
      </c>
      <c r="B54" s="3" t="s">
        <v>709</v>
      </c>
      <c r="C54" s="3" t="s">
        <v>710</v>
      </c>
    </row>
    <row r="55" customFormat="false" ht="15" hidden="false" customHeight="false" outlineLevel="0" collapsed="false">
      <c r="A55" s="3" t="n">
        <v>11</v>
      </c>
      <c r="B55" s="3" t="s">
        <v>711</v>
      </c>
      <c r="C55" s="3" t="s">
        <v>712</v>
      </c>
    </row>
    <row r="56" customFormat="false" ht="23.85" hidden="false" customHeight="false" outlineLevel="0" collapsed="false">
      <c r="A56" s="3" t="n">
        <v>12</v>
      </c>
      <c r="B56" s="3" t="s">
        <v>713</v>
      </c>
      <c r="C56" s="3" t="s">
        <v>714</v>
      </c>
    </row>
    <row r="57" customFormat="false" ht="15" hidden="false" customHeight="false" outlineLevel="0" collapsed="false">
      <c r="A57" s="3" t="n">
        <v>13</v>
      </c>
      <c r="B57" s="3" t="s">
        <v>715</v>
      </c>
      <c r="C57" s="3" t="s">
        <v>716</v>
      </c>
    </row>
    <row r="58" customFormat="false" ht="15" hidden="false" customHeight="false" outlineLevel="0" collapsed="false">
      <c r="A58" s="3" t="n">
        <v>14</v>
      </c>
      <c r="B58" s="3" t="s">
        <v>717</v>
      </c>
      <c r="C58" s="3" t="s">
        <v>718</v>
      </c>
    </row>
    <row r="59" customFormat="false" ht="15" hidden="false" customHeight="false" outlineLevel="0" collapsed="false">
      <c r="A59" s="3" t="n">
        <v>15</v>
      </c>
      <c r="B59" s="3" t="s">
        <v>719</v>
      </c>
      <c r="C59" s="3" t="s">
        <v>720</v>
      </c>
    </row>
    <row r="60" customFormat="false" ht="23.85" hidden="false" customHeight="false" outlineLevel="0" collapsed="false">
      <c r="A60" s="3" t="n">
        <v>16</v>
      </c>
      <c r="B60" s="3" t="s">
        <v>721</v>
      </c>
      <c r="C60" s="3" t="s">
        <v>722</v>
      </c>
    </row>
    <row r="61" customFormat="false" ht="15" hidden="false" customHeight="false" outlineLevel="0" collapsed="false">
      <c r="A61" s="3" t="n">
        <v>17</v>
      </c>
      <c r="B61" s="3" t="s">
        <v>723</v>
      </c>
      <c r="C61" s="3" t="s">
        <v>724</v>
      </c>
    </row>
    <row r="62" customFormat="false" ht="15" hidden="false" customHeight="false" outlineLevel="0" collapsed="false">
      <c r="A62" s="3" t="n">
        <v>18</v>
      </c>
      <c r="B62" s="3" t="s">
        <v>725</v>
      </c>
      <c r="C62" s="3" t="s">
        <v>726</v>
      </c>
    </row>
  </sheetData>
  <mergeCells count="6">
    <mergeCell ref="A1:H1"/>
    <mergeCell ref="A3:H3"/>
    <mergeCell ref="A14:H14"/>
    <mergeCell ref="A24:H24"/>
    <mergeCell ref="A35:H35"/>
    <mergeCell ref="A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9" min="4" style="0" width="16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1" t="s">
        <v>727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1.75" hidden="false" customHeight="true" outlineLevel="0" collapsed="false">
      <c r="A3" s="2" t="s">
        <v>728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25" t="s">
        <v>729</v>
      </c>
      <c r="B4" s="25"/>
      <c r="C4" s="25"/>
      <c r="D4" s="25"/>
      <c r="E4" s="25"/>
      <c r="F4" s="25"/>
      <c r="G4" s="25"/>
      <c r="H4" s="25"/>
      <c r="I4" s="25"/>
      <c r="J4" s="25"/>
    </row>
    <row r="5" customFormat="false" ht="15" hidden="false" customHeight="false" outlineLevel="0" collapsed="false">
      <c r="A5" s="25"/>
      <c r="B5" s="25"/>
      <c r="C5" s="25"/>
      <c r="D5" s="25"/>
      <c r="E5" s="25"/>
      <c r="F5" s="25"/>
      <c r="G5" s="25"/>
      <c r="H5" s="25"/>
      <c r="I5" s="25"/>
      <c r="J5" s="25"/>
    </row>
    <row r="6" customFormat="false" ht="15" hidden="false" customHeight="false" outlineLevel="0" collapsed="false">
      <c r="A6" s="25"/>
      <c r="B6" s="25"/>
      <c r="C6" s="25"/>
      <c r="D6" s="25"/>
      <c r="E6" s="25"/>
      <c r="F6" s="25"/>
      <c r="G6" s="25"/>
      <c r="H6" s="25"/>
      <c r="I6" s="25"/>
      <c r="J6" s="25"/>
    </row>
    <row r="7" customFormat="false" ht="15" hidden="false" customHeight="fals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</row>
    <row r="9" customFormat="false" ht="21.75" hidden="false" customHeight="true" outlineLevel="0" collapsed="false">
      <c r="A9" s="2" t="s">
        <v>730</v>
      </c>
      <c r="B9" s="2"/>
      <c r="C9" s="2"/>
      <c r="D9" s="2"/>
      <c r="E9" s="2"/>
      <c r="F9" s="2"/>
      <c r="G9" s="2"/>
      <c r="H9" s="2"/>
      <c r="I9" s="2"/>
      <c r="J9" s="2"/>
    </row>
    <row r="10" customFormat="false" ht="31.5" hidden="false" customHeight="true" outlineLevel="0" collapsed="false">
      <c r="A10" s="5" t="s">
        <v>525</v>
      </c>
      <c r="B10" s="5" t="s">
        <v>526</v>
      </c>
      <c r="C10" s="5" t="s">
        <v>731</v>
      </c>
      <c r="D10" s="5" t="s">
        <v>732</v>
      </c>
      <c r="E10" s="5" t="s">
        <v>733</v>
      </c>
      <c r="F10" s="5" t="s">
        <v>734</v>
      </c>
      <c r="G10" s="5" t="s">
        <v>735</v>
      </c>
      <c r="H10" s="5" t="s">
        <v>736</v>
      </c>
      <c r="I10" s="5" t="s">
        <v>737</v>
      </c>
      <c r="J10" s="5" t="s">
        <v>738</v>
      </c>
    </row>
    <row r="11" customFormat="false" ht="64.5" hidden="false" customHeight="true" outlineLevel="0" collapsed="false">
      <c r="A11" s="3" t="n">
        <v>1</v>
      </c>
      <c r="B11" s="3" t="s">
        <v>533</v>
      </c>
      <c r="C11" s="3" t="s">
        <v>739</v>
      </c>
      <c r="D11" s="26" t="n">
        <v>1080000</v>
      </c>
      <c r="E11" s="26" t="n">
        <v>70000</v>
      </c>
      <c r="F11" s="26" t="n">
        <v>110000</v>
      </c>
      <c r="G11" s="26" t="n">
        <v>180000</v>
      </c>
      <c r="H11" s="26" t="n">
        <v>80000</v>
      </c>
      <c r="I11" s="3" t="n">
        <v>9</v>
      </c>
      <c r="J11" s="3" t="s">
        <v>740</v>
      </c>
    </row>
    <row r="12" customFormat="false" ht="64.5" hidden="false" customHeight="true" outlineLevel="0" collapsed="false">
      <c r="A12" s="3" t="n">
        <v>2</v>
      </c>
      <c r="B12" s="3" t="s">
        <v>741</v>
      </c>
      <c r="C12" s="3" t="s">
        <v>742</v>
      </c>
      <c r="D12" s="26" t="n">
        <v>720000</v>
      </c>
      <c r="E12" s="26" t="n">
        <v>50000</v>
      </c>
      <c r="F12" s="26" t="n">
        <v>75000</v>
      </c>
      <c r="G12" s="26" t="n">
        <v>130000</v>
      </c>
      <c r="H12" s="26" t="n">
        <v>60000</v>
      </c>
      <c r="I12" s="3" t="n">
        <v>10</v>
      </c>
      <c r="J12" s="3" t="s">
        <v>743</v>
      </c>
    </row>
    <row r="13" customFormat="false" ht="64.5" hidden="false" customHeight="true" outlineLevel="0" collapsed="false">
      <c r="A13" s="3" t="n">
        <v>3</v>
      </c>
      <c r="B13" s="3" t="s">
        <v>744</v>
      </c>
      <c r="C13" s="3" t="s">
        <v>745</v>
      </c>
      <c r="D13" s="26" t="n">
        <v>950000</v>
      </c>
      <c r="E13" s="26" t="n">
        <v>60000</v>
      </c>
      <c r="F13" s="26" t="n">
        <v>130000</v>
      </c>
      <c r="G13" s="26" t="n">
        <v>95000</v>
      </c>
      <c r="H13" s="26" t="n">
        <v>250000</v>
      </c>
      <c r="I13" s="3" t="n">
        <v>23</v>
      </c>
      <c r="J13" s="3" t="s">
        <v>746</v>
      </c>
    </row>
    <row r="14" customFormat="false" ht="64.5" hidden="false" customHeight="true" outlineLevel="0" collapsed="false">
      <c r="A14" s="3" t="n">
        <v>4</v>
      </c>
      <c r="B14" s="3" t="s">
        <v>747</v>
      </c>
      <c r="C14" s="3" t="s">
        <v>748</v>
      </c>
      <c r="D14" s="26" t="n">
        <v>6300000</v>
      </c>
      <c r="E14" s="26" t="n">
        <v>95000</v>
      </c>
      <c r="F14" s="26" t="n">
        <v>250000</v>
      </c>
      <c r="G14" s="26" t="n">
        <v>540000</v>
      </c>
      <c r="H14" s="26" t="n">
        <v>350000</v>
      </c>
      <c r="I14" s="3" t="n">
        <v>17</v>
      </c>
      <c r="J14" s="3" t="s">
        <v>749</v>
      </c>
    </row>
    <row r="15" customFormat="false" ht="64.5" hidden="false" customHeight="true" outlineLevel="0" collapsed="false">
      <c r="A15" s="3" t="n">
        <v>5</v>
      </c>
      <c r="B15" s="3" t="s">
        <v>750</v>
      </c>
      <c r="C15" s="3" t="s">
        <v>751</v>
      </c>
      <c r="D15" s="26" t="n">
        <v>14000000</v>
      </c>
      <c r="E15" s="26" t="n">
        <v>1400000</v>
      </c>
      <c r="F15" s="26" t="n">
        <v>280000</v>
      </c>
      <c r="G15" s="26" t="n">
        <v>0</v>
      </c>
      <c r="H15" s="26" t="n">
        <v>600000</v>
      </c>
      <c r="I15" s="3" t="n">
        <v>5</v>
      </c>
      <c r="J15" s="3" t="s">
        <v>752</v>
      </c>
    </row>
    <row r="16" customFormat="false" ht="64.5" hidden="false" customHeight="true" outlineLevel="0" collapsed="false">
      <c r="A16" s="3" t="n">
        <v>6</v>
      </c>
      <c r="B16" s="3" t="s">
        <v>753</v>
      </c>
      <c r="C16" s="3" t="s">
        <v>754</v>
      </c>
      <c r="D16" s="26" t="n">
        <v>2400000</v>
      </c>
      <c r="E16" s="26" t="n">
        <v>0</v>
      </c>
      <c r="F16" s="26" t="n">
        <v>60000</v>
      </c>
      <c r="G16" s="26" t="n">
        <v>240000</v>
      </c>
      <c r="H16" s="26" t="n">
        <v>80000</v>
      </c>
      <c r="I16" s="3" t="n">
        <v>16</v>
      </c>
      <c r="J16" s="3" t="s">
        <v>755</v>
      </c>
    </row>
    <row r="17" customFormat="false" ht="64.5" hidden="false" customHeight="true" outlineLevel="0" collapsed="false">
      <c r="A17" s="3" t="n">
        <v>7</v>
      </c>
      <c r="B17" s="3" t="s">
        <v>756</v>
      </c>
      <c r="C17" s="3" t="s">
        <v>757</v>
      </c>
      <c r="D17" s="26" t="n">
        <v>41600000</v>
      </c>
      <c r="E17" s="26" t="n">
        <v>480000</v>
      </c>
      <c r="F17" s="26" t="n">
        <v>750000</v>
      </c>
      <c r="G17" s="26" t="n">
        <v>480000</v>
      </c>
      <c r="H17" s="26" t="n">
        <v>220000</v>
      </c>
      <c r="I17" s="3" t="n">
        <v>4</v>
      </c>
      <c r="J17" s="3" t="s">
        <v>758</v>
      </c>
    </row>
    <row r="18" customFormat="false" ht="64.5" hidden="false" customHeight="true" outlineLevel="0" collapsed="false">
      <c r="A18" s="3" t="n">
        <v>8</v>
      </c>
      <c r="B18" s="3" t="s">
        <v>759</v>
      </c>
      <c r="C18" s="3" t="s">
        <v>760</v>
      </c>
      <c r="D18" s="26" t="n">
        <v>5500000</v>
      </c>
      <c r="E18" s="26" t="n">
        <v>30000</v>
      </c>
      <c r="F18" s="26" t="n">
        <v>0</v>
      </c>
      <c r="G18" s="26" t="n">
        <v>350000</v>
      </c>
      <c r="H18" s="26" t="n">
        <v>50000</v>
      </c>
      <c r="I18" s="3" t="n">
        <v>2</v>
      </c>
      <c r="J18" s="3" t="s">
        <v>761</v>
      </c>
    </row>
    <row r="19" customFormat="false" ht="64.5" hidden="false" customHeight="true" outlineLevel="0" collapsed="false">
      <c r="A19" s="3" t="n">
        <v>9</v>
      </c>
      <c r="B19" s="3" t="s">
        <v>762</v>
      </c>
      <c r="C19" s="3" t="s">
        <v>763</v>
      </c>
      <c r="D19" s="26" t="n">
        <v>1500000</v>
      </c>
      <c r="E19" s="26" t="n">
        <v>180000</v>
      </c>
      <c r="F19" s="26" t="n">
        <v>80000</v>
      </c>
      <c r="G19" s="26" t="n">
        <v>720000</v>
      </c>
      <c r="H19" s="26" t="n">
        <v>120000</v>
      </c>
      <c r="I19" s="3" t="n">
        <v>9</v>
      </c>
      <c r="J19" s="3" t="s">
        <v>764</v>
      </c>
    </row>
    <row r="20" customFormat="false" ht="64.5" hidden="false" customHeight="true" outlineLevel="0" collapsed="false">
      <c r="A20" s="3" t="n">
        <v>10</v>
      </c>
      <c r="B20" s="3" t="s">
        <v>765</v>
      </c>
      <c r="C20" s="3" t="s">
        <v>766</v>
      </c>
      <c r="D20" s="26" t="n">
        <v>180000</v>
      </c>
      <c r="E20" s="26" t="n">
        <v>0</v>
      </c>
      <c r="F20" s="26" t="n">
        <v>50000</v>
      </c>
      <c r="G20" s="26" t="n">
        <v>90000</v>
      </c>
      <c r="H20" s="26" t="n">
        <v>250000</v>
      </c>
      <c r="I20" s="3" t="n">
        <v>60</v>
      </c>
      <c r="J20" s="3" t="s">
        <v>767</v>
      </c>
    </row>
    <row r="21" customFormat="false" ht="15" hidden="false" customHeight="false" outlineLevel="0" collapsed="false">
      <c r="B21" s="27" t="s">
        <v>768</v>
      </c>
      <c r="D21" s="15" t="n">
        <f aca="false">SUM(D11:D20)</f>
        <v>74230000</v>
      </c>
      <c r="E21" s="15" t="n">
        <f aca="false">SUM(E11:E20)</f>
        <v>2365000</v>
      </c>
      <c r="F21" s="15" t="n">
        <f aca="false">SUM(F11:F20)</f>
        <v>1785000</v>
      </c>
      <c r="G21" s="15" t="n">
        <f aca="false">SUM(G11:G20)</f>
        <v>2825000</v>
      </c>
      <c r="H21" s="15" t="n">
        <f aca="false">SUM(H11:H20)</f>
        <v>2060000</v>
      </c>
    </row>
    <row r="23" customFormat="false" ht="21.75" hidden="false" customHeight="true" outlineLevel="0" collapsed="false">
      <c r="A23" s="2" t="s">
        <v>769</v>
      </c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true" outlineLevel="0" collapsed="false">
      <c r="A24" s="24" t="s">
        <v>770</v>
      </c>
      <c r="B24" s="24"/>
      <c r="C24" s="24"/>
      <c r="D24" s="24"/>
      <c r="E24" s="24"/>
      <c r="F24" s="24"/>
      <c r="G24" s="24"/>
      <c r="H24" s="24"/>
      <c r="I24" s="24"/>
      <c r="J24" s="24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</row>
  </sheetData>
  <mergeCells count="6">
    <mergeCell ref="A1:J1"/>
    <mergeCell ref="A3:J3"/>
    <mergeCell ref="A4:J7"/>
    <mergeCell ref="A9:J9"/>
    <mergeCell ref="A23:J23"/>
    <mergeCell ref="A24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2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771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772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25" t="s">
        <v>773</v>
      </c>
      <c r="B4" s="25"/>
      <c r="C4" s="25"/>
      <c r="D4" s="25"/>
      <c r="E4" s="25"/>
      <c r="F4" s="25"/>
      <c r="G4" s="25"/>
      <c r="H4" s="25"/>
    </row>
    <row r="5" customFormat="false" ht="15" hidden="false" customHeight="false" outlineLevel="0" collapsed="false">
      <c r="A5" s="25"/>
      <c r="B5" s="25"/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A6" s="25"/>
      <c r="B6" s="25"/>
      <c r="C6" s="25"/>
      <c r="D6" s="25"/>
      <c r="E6" s="25"/>
      <c r="F6" s="25"/>
      <c r="G6" s="25"/>
      <c r="H6" s="25"/>
    </row>
    <row r="7" customFormat="false" ht="15" hidden="false" customHeight="false" outlineLevel="0" collapsed="false">
      <c r="A7" s="25"/>
      <c r="B7" s="25"/>
      <c r="C7" s="25"/>
      <c r="D7" s="25"/>
      <c r="E7" s="25"/>
      <c r="F7" s="25"/>
      <c r="G7" s="25"/>
      <c r="H7" s="25"/>
    </row>
    <row r="9" customFormat="false" ht="21.75" hidden="false" customHeight="true" outlineLevel="0" collapsed="false">
      <c r="A9" s="2" t="s">
        <v>774</v>
      </c>
      <c r="B9" s="2"/>
      <c r="C9" s="2"/>
      <c r="D9" s="2"/>
      <c r="E9" s="2"/>
      <c r="F9" s="2"/>
      <c r="G9" s="2"/>
      <c r="H9" s="2"/>
    </row>
    <row r="10" customFormat="false" ht="31.5" hidden="false" customHeight="true" outlineLevel="0" collapsed="false">
      <c r="A10" s="5" t="s">
        <v>314</v>
      </c>
      <c r="B10" s="5" t="s">
        <v>62</v>
      </c>
      <c r="C10" s="5" t="s">
        <v>344</v>
      </c>
      <c r="D10" s="5" t="s">
        <v>345</v>
      </c>
      <c r="E10" s="5"/>
      <c r="F10" s="5"/>
      <c r="G10" s="5"/>
      <c r="H10" s="5"/>
    </row>
    <row r="11" customFormat="false" ht="23.85" hidden="false" customHeight="false" outlineLevel="0" collapsed="false">
      <c r="A11" s="3" t="s">
        <v>775</v>
      </c>
      <c r="B11" s="9" t="n">
        <v>50000000</v>
      </c>
      <c r="C11" s="3" t="s">
        <v>347</v>
      </c>
      <c r="D11" s="3" t="s">
        <v>776</v>
      </c>
    </row>
    <row r="12" customFormat="false" ht="46.25" hidden="false" customHeight="false" outlineLevel="0" collapsed="false">
      <c r="A12" s="3" t="s">
        <v>777</v>
      </c>
      <c r="B12" s="9" t="n">
        <v>180</v>
      </c>
      <c r="C12" s="3" t="s">
        <v>778</v>
      </c>
      <c r="D12" s="3" t="s">
        <v>779</v>
      </c>
    </row>
    <row r="13" customFormat="false" ht="15" hidden="false" customHeight="false" outlineLevel="0" collapsed="false">
      <c r="A13" s="3" t="s">
        <v>780</v>
      </c>
      <c r="B13" s="12" t="n">
        <f aca="false">B11/B12</f>
        <v>277777.777777778</v>
      </c>
      <c r="C13" s="3" t="s">
        <v>781</v>
      </c>
      <c r="D13" s="3" t="s">
        <v>782</v>
      </c>
    </row>
    <row r="14" customFormat="false" ht="23.85" hidden="false" customHeight="false" outlineLevel="0" collapsed="false">
      <c r="A14" s="3" t="s">
        <v>783</v>
      </c>
      <c r="B14" s="18" t="n">
        <v>0.3</v>
      </c>
      <c r="C14" s="3" t="s">
        <v>350</v>
      </c>
      <c r="D14" s="3" t="s">
        <v>784</v>
      </c>
    </row>
    <row r="15" customFormat="false" ht="23.85" hidden="false" customHeight="false" outlineLevel="0" collapsed="false">
      <c r="A15" s="3" t="s">
        <v>785</v>
      </c>
      <c r="B15" s="28" t="n">
        <v>0.7</v>
      </c>
      <c r="C15" s="3" t="s">
        <v>350</v>
      </c>
      <c r="D15" s="3" t="s">
        <v>786</v>
      </c>
    </row>
    <row r="16" customFormat="false" ht="23.85" hidden="false" customHeight="false" outlineLevel="0" collapsed="false">
      <c r="A16" s="3" t="s">
        <v>787</v>
      </c>
      <c r="B16" s="12" t="n">
        <f aca="false">B13*B14</f>
        <v>83333.3333333333</v>
      </c>
      <c r="C16" s="3" t="s">
        <v>781</v>
      </c>
      <c r="D16" s="3"/>
    </row>
    <row r="17" customFormat="false" ht="23.85" hidden="false" customHeight="false" outlineLevel="0" collapsed="false">
      <c r="A17" s="3" t="s">
        <v>788</v>
      </c>
      <c r="B17" s="12" t="n">
        <f aca="false">B13*B15</f>
        <v>194444.444444444</v>
      </c>
      <c r="C17" s="3" t="s">
        <v>781</v>
      </c>
      <c r="D17" s="3"/>
    </row>
    <row r="18" customFormat="false" ht="15" hidden="false" customHeight="false" outlineLevel="0" collapsed="false">
      <c r="A18" s="3" t="s">
        <v>789</v>
      </c>
      <c r="B18" s="11" t="n">
        <f aca="false">B11*B14</f>
        <v>15000000</v>
      </c>
      <c r="C18" s="3" t="s">
        <v>347</v>
      </c>
      <c r="D18" s="3"/>
    </row>
    <row r="19" customFormat="false" ht="23.85" hidden="false" customHeight="false" outlineLevel="0" collapsed="false">
      <c r="A19" s="3" t="s">
        <v>790</v>
      </c>
      <c r="B19" s="11" t="n">
        <f aca="false">B11*B15</f>
        <v>35000000</v>
      </c>
      <c r="C19" s="3" t="s">
        <v>347</v>
      </c>
      <c r="D19" s="3" t="s">
        <v>791</v>
      </c>
    </row>
    <row r="21" customFormat="false" ht="21.75" hidden="false" customHeight="true" outlineLevel="0" collapsed="false">
      <c r="A21" s="2" t="s">
        <v>792</v>
      </c>
      <c r="B21" s="2"/>
      <c r="C21" s="2"/>
      <c r="D21" s="2"/>
      <c r="E21" s="2"/>
      <c r="F21" s="2"/>
      <c r="G21" s="2"/>
      <c r="H21" s="2"/>
    </row>
    <row r="22" customFormat="false" ht="31.5" hidden="false" customHeight="true" outlineLevel="0" collapsed="false">
      <c r="A22" s="5" t="s">
        <v>364</v>
      </c>
      <c r="B22" s="5" t="s">
        <v>365</v>
      </c>
      <c r="C22" s="5" t="s">
        <v>366</v>
      </c>
      <c r="D22" s="5" t="s">
        <v>793</v>
      </c>
      <c r="E22" s="5" t="s">
        <v>794</v>
      </c>
      <c r="F22" s="5" t="s">
        <v>795</v>
      </c>
      <c r="G22" s="5"/>
      <c r="H22" s="5"/>
    </row>
    <row r="23" customFormat="false" ht="15" hidden="false" customHeight="false" outlineLevel="0" collapsed="false">
      <c r="A23" s="3" t="s">
        <v>796</v>
      </c>
      <c r="B23" s="3" t="s">
        <v>797</v>
      </c>
      <c r="C23" s="3" t="s">
        <v>798</v>
      </c>
      <c r="D23" s="3" t="s">
        <v>799</v>
      </c>
      <c r="E23" s="3" t="s">
        <v>800</v>
      </c>
      <c r="F23" s="11" t="n">
        <v>6300000</v>
      </c>
      <c r="G23" s="3"/>
      <c r="H23" s="3"/>
    </row>
    <row r="24" customFormat="false" ht="15" hidden="false" customHeight="false" outlineLevel="0" collapsed="false">
      <c r="A24" s="3" t="s">
        <v>801</v>
      </c>
      <c r="B24" s="3" t="s">
        <v>386</v>
      </c>
      <c r="C24" s="3" t="s">
        <v>802</v>
      </c>
      <c r="D24" s="3" t="s">
        <v>803</v>
      </c>
      <c r="E24" s="3" t="s">
        <v>800</v>
      </c>
      <c r="F24" s="11" t="n">
        <v>577500</v>
      </c>
      <c r="G24" s="3"/>
      <c r="H24" s="3"/>
    </row>
    <row r="25" customFormat="false" ht="15" hidden="false" customHeight="false" outlineLevel="0" collapsed="false">
      <c r="A25" s="3" t="s">
        <v>804</v>
      </c>
      <c r="B25" s="3" t="s">
        <v>386</v>
      </c>
      <c r="C25" s="3" t="s">
        <v>802</v>
      </c>
      <c r="D25" s="3" t="s">
        <v>805</v>
      </c>
      <c r="E25" s="3" t="s">
        <v>800</v>
      </c>
      <c r="F25" s="11" t="n">
        <v>2660000</v>
      </c>
      <c r="G25" s="3"/>
      <c r="H25" s="3"/>
    </row>
    <row r="26" customFormat="false" ht="15" hidden="false" customHeight="false" outlineLevel="0" collapsed="false">
      <c r="A26" s="3" t="s">
        <v>397</v>
      </c>
      <c r="B26" s="3" t="s">
        <v>386</v>
      </c>
      <c r="C26" s="3" t="s">
        <v>806</v>
      </c>
      <c r="D26" s="3" t="s">
        <v>807</v>
      </c>
      <c r="E26" s="3" t="s">
        <v>800</v>
      </c>
      <c r="F26" s="11" t="n">
        <v>1050000</v>
      </c>
      <c r="G26" s="3"/>
      <c r="H26" s="3"/>
    </row>
    <row r="27" customFormat="false" ht="15" hidden="false" customHeight="false" outlineLevel="0" collapsed="false">
      <c r="A27" s="3" t="s">
        <v>403</v>
      </c>
      <c r="B27" s="3" t="s">
        <v>386</v>
      </c>
      <c r="C27" s="3" t="s">
        <v>806</v>
      </c>
      <c r="D27" s="3" t="s">
        <v>404</v>
      </c>
      <c r="E27" s="3" t="s">
        <v>800</v>
      </c>
      <c r="F27" s="11" t="n">
        <v>630000</v>
      </c>
      <c r="G27" s="3"/>
      <c r="H27" s="3"/>
    </row>
    <row r="28" customFormat="false" ht="23.85" hidden="false" customHeight="false" outlineLevel="0" collapsed="false">
      <c r="A28" s="3" t="s">
        <v>808</v>
      </c>
      <c r="B28" s="3" t="s">
        <v>423</v>
      </c>
      <c r="C28" s="3" t="s">
        <v>809</v>
      </c>
      <c r="D28" s="3" t="s">
        <v>428</v>
      </c>
      <c r="E28" s="3" t="s">
        <v>810</v>
      </c>
      <c r="F28" s="11" t="n">
        <v>875000</v>
      </c>
      <c r="G28" s="3"/>
      <c r="H28" s="3"/>
    </row>
    <row r="29" customFormat="false" ht="15" hidden="false" customHeight="false" outlineLevel="0" collapsed="false">
      <c r="A29" s="13" t="s">
        <v>811</v>
      </c>
      <c r="B29" s="14"/>
      <c r="C29" s="14"/>
      <c r="D29" s="14"/>
      <c r="E29" s="14"/>
      <c r="F29" s="29" t="n">
        <f aca="false">SUM(F23:F28)</f>
        <v>12092500</v>
      </c>
      <c r="G29" s="13" t="s">
        <v>812</v>
      </c>
      <c r="H29" s="14"/>
    </row>
    <row r="31" customFormat="false" ht="21.75" hidden="false" customHeight="true" outlineLevel="0" collapsed="false">
      <c r="A31" s="2" t="s">
        <v>813</v>
      </c>
      <c r="B31" s="2"/>
      <c r="C31" s="2"/>
      <c r="D31" s="2"/>
      <c r="E31" s="2"/>
      <c r="F31" s="2"/>
      <c r="G31" s="2"/>
      <c r="H31" s="2"/>
    </row>
    <row r="32" customFormat="false" ht="15" hidden="false" customHeight="true" outlineLevel="0" collapsed="false">
      <c r="A32" s="24" t="s">
        <v>814</v>
      </c>
      <c r="B32" s="24"/>
      <c r="C32" s="24"/>
      <c r="D32" s="24"/>
      <c r="E32" s="24"/>
      <c r="F32" s="24"/>
      <c r="G32" s="24"/>
      <c r="H32" s="24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4"/>
      <c r="H33" s="24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4"/>
      <c r="H34" s="24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4"/>
      <c r="H35" s="24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  <c r="H36" s="24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4"/>
      <c r="H37" s="24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4"/>
      <c r="H38" s="24"/>
    </row>
    <row r="40" customFormat="false" ht="31.5" hidden="false" customHeight="true" outlineLevel="0" collapsed="false">
      <c r="A40" s="5" t="s">
        <v>364</v>
      </c>
      <c r="B40" s="5" t="s">
        <v>365</v>
      </c>
      <c r="C40" s="5" t="s">
        <v>366</v>
      </c>
      <c r="D40" s="5" t="s">
        <v>815</v>
      </c>
      <c r="E40" s="5" t="s">
        <v>794</v>
      </c>
      <c r="F40" s="5" t="s">
        <v>795</v>
      </c>
      <c r="G40" s="5"/>
      <c r="H40" s="5"/>
    </row>
    <row r="41" customFormat="false" ht="23.85" hidden="false" customHeight="false" outlineLevel="0" collapsed="false">
      <c r="A41" s="3" t="s">
        <v>816</v>
      </c>
      <c r="B41" s="3" t="s">
        <v>797</v>
      </c>
      <c r="C41" s="3" t="s">
        <v>817</v>
      </c>
      <c r="D41" s="3" t="s">
        <v>818</v>
      </c>
      <c r="E41" s="3" t="s">
        <v>819</v>
      </c>
      <c r="F41" s="11" t="n">
        <v>0</v>
      </c>
      <c r="G41" s="3" t="s">
        <v>820</v>
      </c>
      <c r="H41" s="3"/>
    </row>
    <row r="42" customFormat="false" ht="23.85" hidden="false" customHeight="false" outlineLevel="0" collapsed="false">
      <c r="A42" s="3" t="s">
        <v>821</v>
      </c>
      <c r="B42" s="3" t="s">
        <v>386</v>
      </c>
      <c r="C42" s="3" t="s">
        <v>822</v>
      </c>
      <c r="D42" s="3" t="s">
        <v>823</v>
      </c>
      <c r="E42" s="3" t="s">
        <v>824</v>
      </c>
      <c r="F42" s="11" t="n">
        <v>41250</v>
      </c>
      <c r="G42" s="3" t="s">
        <v>825</v>
      </c>
      <c r="H42" s="3"/>
    </row>
    <row r="43" customFormat="false" ht="23.85" hidden="false" customHeight="false" outlineLevel="0" collapsed="false">
      <c r="A43" s="3" t="s">
        <v>826</v>
      </c>
      <c r="B43" s="3" t="s">
        <v>386</v>
      </c>
      <c r="C43" s="3" t="s">
        <v>822</v>
      </c>
      <c r="D43" s="3" t="s">
        <v>827</v>
      </c>
      <c r="E43" s="3" t="s">
        <v>824</v>
      </c>
      <c r="F43" s="11" t="n">
        <v>190000</v>
      </c>
      <c r="G43" s="3" t="s">
        <v>825</v>
      </c>
      <c r="H43" s="3"/>
    </row>
    <row r="44" customFormat="false" ht="15" hidden="false" customHeight="false" outlineLevel="0" collapsed="false">
      <c r="A44" s="3" t="s">
        <v>828</v>
      </c>
      <c r="B44" s="3" t="s">
        <v>386</v>
      </c>
      <c r="C44" s="3" t="s">
        <v>829</v>
      </c>
      <c r="D44" s="3" t="s">
        <v>432</v>
      </c>
      <c r="E44" s="3" t="s">
        <v>824</v>
      </c>
      <c r="F44" s="11" t="n">
        <v>0</v>
      </c>
      <c r="G44" s="3" t="s">
        <v>830</v>
      </c>
      <c r="H44" s="3"/>
    </row>
    <row r="45" customFormat="false" ht="15" hidden="false" customHeight="false" outlineLevel="0" collapsed="false">
      <c r="A45" s="3" t="s">
        <v>831</v>
      </c>
      <c r="B45" s="3" t="s">
        <v>386</v>
      </c>
      <c r="C45" s="3" t="s">
        <v>829</v>
      </c>
      <c r="D45" s="3" t="s">
        <v>432</v>
      </c>
      <c r="E45" s="3" t="s">
        <v>824</v>
      </c>
      <c r="F45" s="11" t="n">
        <v>0</v>
      </c>
      <c r="G45" s="3" t="s">
        <v>830</v>
      </c>
      <c r="H45" s="3"/>
    </row>
    <row r="46" customFormat="false" ht="23.85" hidden="false" customHeight="false" outlineLevel="0" collapsed="false">
      <c r="A46" s="3" t="s">
        <v>832</v>
      </c>
      <c r="B46" s="3" t="s">
        <v>386</v>
      </c>
      <c r="C46" s="3" t="s">
        <v>833</v>
      </c>
      <c r="D46" s="3" t="s">
        <v>834</v>
      </c>
      <c r="E46" s="3" t="s">
        <v>835</v>
      </c>
      <c r="F46" s="11" t="n">
        <v>525000</v>
      </c>
      <c r="G46" s="3" t="s">
        <v>836</v>
      </c>
      <c r="H46" s="3"/>
    </row>
    <row r="47" customFormat="false" ht="23.85" hidden="false" customHeight="false" outlineLevel="0" collapsed="false">
      <c r="A47" s="3" t="s">
        <v>837</v>
      </c>
      <c r="B47" s="3" t="s">
        <v>423</v>
      </c>
      <c r="C47" s="3" t="s">
        <v>822</v>
      </c>
      <c r="D47" s="3" t="s">
        <v>428</v>
      </c>
      <c r="E47" s="3" t="s">
        <v>838</v>
      </c>
      <c r="F47" s="11" t="n">
        <v>75000</v>
      </c>
      <c r="G47" s="3" t="s">
        <v>839</v>
      </c>
      <c r="H47" s="3"/>
    </row>
    <row r="48" customFormat="false" ht="15" hidden="false" customHeight="false" outlineLevel="0" collapsed="false">
      <c r="A48" s="13" t="s">
        <v>840</v>
      </c>
      <c r="B48" s="14"/>
      <c r="C48" s="14"/>
      <c r="D48" s="14"/>
      <c r="E48" s="14"/>
      <c r="F48" s="15" t="n">
        <f aca="false">SUM(F41:F47)</f>
        <v>831250</v>
      </c>
      <c r="G48" s="14"/>
      <c r="H48" s="14"/>
    </row>
    <row r="50" customFormat="false" ht="21.75" hidden="false" customHeight="true" outlineLevel="0" collapsed="false">
      <c r="A50" s="2" t="s">
        <v>841</v>
      </c>
      <c r="B50" s="2"/>
      <c r="C50" s="2"/>
      <c r="D50" s="2"/>
      <c r="E50" s="2"/>
      <c r="F50" s="2"/>
      <c r="G50" s="2"/>
      <c r="H50" s="2"/>
    </row>
    <row r="51" customFormat="false" ht="31.5" hidden="false" customHeight="true" outlineLevel="0" collapsed="false">
      <c r="A51" s="5" t="s">
        <v>842</v>
      </c>
      <c r="B51" s="5" t="s">
        <v>843</v>
      </c>
      <c r="C51" s="5" t="s">
        <v>844</v>
      </c>
      <c r="D51" s="5" t="s">
        <v>845</v>
      </c>
      <c r="E51" s="5" t="s">
        <v>846</v>
      </c>
      <c r="F51" s="5"/>
      <c r="G51" s="5"/>
      <c r="H51" s="5"/>
    </row>
    <row r="52" customFormat="false" ht="15" hidden="false" customHeight="false" outlineLevel="0" collapsed="false">
      <c r="A52" s="3" t="s">
        <v>847</v>
      </c>
      <c r="B52" s="11" t="n">
        <v>50000000</v>
      </c>
      <c r="C52" s="11" t="n">
        <v>42778125</v>
      </c>
      <c r="D52" s="11" t="n">
        <v>-7221875</v>
      </c>
      <c r="E52" s="30" t="n">
        <v>-0.1444375</v>
      </c>
    </row>
    <row r="53" customFormat="false" ht="23.85" hidden="false" customHeight="false" outlineLevel="0" collapsed="false">
      <c r="A53" s="3" t="s">
        <v>848</v>
      </c>
      <c r="B53" s="11" t="n">
        <v>15275000</v>
      </c>
      <c r="C53" s="11" t="n">
        <v>831250</v>
      </c>
      <c r="D53" s="11" t="n">
        <v>-14443750</v>
      </c>
      <c r="E53" s="30" t="n">
        <v>-0.945581014729951</v>
      </c>
    </row>
    <row r="54" customFormat="false" ht="15" hidden="false" customHeight="false" outlineLevel="0" collapsed="false">
      <c r="A54" s="3" t="s">
        <v>849</v>
      </c>
      <c r="B54" s="11" t="n">
        <v>0</v>
      </c>
      <c r="C54" s="11" t="n">
        <v>7221875</v>
      </c>
      <c r="D54" s="11" t="n">
        <v>7221875</v>
      </c>
      <c r="E54" s="3" t="s">
        <v>116</v>
      </c>
    </row>
    <row r="55" customFormat="false" ht="15" hidden="false" customHeight="false" outlineLevel="0" collapsed="false">
      <c r="A55" s="3" t="s">
        <v>850</v>
      </c>
      <c r="B55" s="12" t="n">
        <v>0</v>
      </c>
      <c r="C55" s="12" t="n">
        <v>1250000</v>
      </c>
      <c r="D55" s="12" t="n">
        <v>1250000</v>
      </c>
      <c r="E55" s="3" t="s">
        <v>116</v>
      </c>
    </row>
    <row r="56" customFormat="false" ht="23.85" hidden="false" customHeight="false" outlineLevel="0" collapsed="false">
      <c r="A56" s="3" t="s">
        <v>851</v>
      </c>
      <c r="B56" s="11" t="n">
        <v>0</v>
      </c>
      <c r="C56" s="11" t="n">
        <v>2500000</v>
      </c>
      <c r="D56" s="11" t="n">
        <v>2500000</v>
      </c>
      <c r="E56" s="3" t="s">
        <v>116</v>
      </c>
    </row>
    <row r="57" customFormat="false" ht="23.85" hidden="false" customHeight="false" outlineLevel="0" collapsed="false">
      <c r="A57" s="3" t="s">
        <v>852</v>
      </c>
      <c r="B57" s="12" t="n">
        <v>277778</v>
      </c>
      <c r="C57" s="12" t="n">
        <v>277778</v>
      </c>
      <c r="D57" s="12" t="n">
        <v>0</v>
      </c>
      <c r="E57" s="30" t="n">
        <v>0</v>
      </c>
    </row>
    <row r="59" customFormat="false" ht="21.75" hidden="false" customHeight="true" outlineLevel="0" collapsed="false">
      <c r="A59" s="2" t="s">
        <v>853</v>
      </c>
      <c r="B59" s="2"/>
      <c r="C59" s="2"/>
      <c r="D59" s="2"/>
      <c r="E59" s="2"/>
      <c r="F59" s="2"/>
      <c r="G59" s="2"/>
      <c r="H59" s="2"/>
    </row>
    <row r="60" customFormat="false" ht="15" hidden="false" customHeight="true" outlineLevel="0" collapsed="false">
      <c r="A60" s="24" t="s">
        <v>854</v>
      </c>
      <c r="B60" s="24"/>
      <c r="C60" s="24"/>
      <c r="D60" s="24"/>
      <c r="E60" s="24"/>
      <c r="F60" s="24"/>
      <c r="G60" s="24"/>
      <c r="H60" s="24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4"/>
      <c r="H61" s="24"/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4"/>
      <c r="H62" s="24"/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4"/>
      <c r="H63" s="24"/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4"/>
      <c r="H64" s="24"/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4"/>
      <c r="H65" s="24"/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4"/>
    </row>
  </sheetData>
  <mergeCells count="10">
    <mergeCell ref="A1:H1"/>
    <mergeCell ref="A3:H3"/>
    <mergeCell ref="A4:H7"/>
    <mergeCell ref="A9:H9"/>
    <mergeCell ref="A21:H21"/>
    <mergeCell ref="A31:H31"/>
    <mergeCell ref="A32:H38"/>
    <mergeCell ref="A50:H50"/>
    <mergeCell ref="A59:H59"/>
    <mergeCell ref="A60:H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8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855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856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25" t="s">
        <v>857</v>
      </c>
      <c r="B4" s="25"/>
      <c r="C4" s="25"/>
      <c r="D4" s="25"/>
      <c r="E4" s="25"/>
      <c r="F4" s="25"/>
      <c r="G4" s="25"/>
      <c r="H4" s="25"/>
    </row>
    <row r="5" customFormat="false" ht="15" hidden="false" customHeight="false" outlineLevel="0" collapsed="false">
      <c r="A5" s="25"/>
      <c r="B5" s="25"/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A6" s="25"/>
      <c r="B6" s="25"/>
      <c r="C6" s="25"/>
      <c r="D6" s="25"/>
      <c r="E6" s="25"/>
      <c r="F6" s="25"/>
      <c r="G6" s="25"/>
      <c r="H6" s="25"/>
    </row>
    <row r="8" customFormat="false" ht="21.75" hidden="false" customHeight="true" outlineLevel="0" collapsed="false">
      <c r="A8" s="2" t="s">
        <v>858</v>
      </c>
      <c r="B8" s="2"/>
      <c r="C8" s="2"/>
      <c r="D8" s="2"/>
      <c r="E8" s="2"/>
      <c r="F8" s="2"/>
      <c r="G8" s="2"/>
      <c r="H8" s="2"/>
    </row>
    <row r="9" customFormat="false" ht="31.5" hidden="false" customHeight="true" outlineLevel="0" collapsed="false">
      <c r="A9" s="5" t="s">
        <v>859</v>
      </c>
      <c r="B9" s="5" t="s">
        <v>860</v>
      </c>
      <c r="C9" s="5" t="s">
        <v>861</v>
      </c>
      <c r="D9" s="5" t="s">
        <v>862</v>
      </c>
      <c r="E9" s="5" t="s">
        <v>794</v>
      </c>
      <c r="F9" s="5"/>
      <c r="G9" s="5"/>
      <c r="H9" s="5"/>
    </row>
    <row r="10" customFormat="false" ht="15" hidden="false" customHeight="false" outlineLevel="0" collapsed="false">
      <c r="A10" s="3" t="s">
        <v>863</v>
      </c>
      <c r="B10" s="11" t="n">
        <v>1000000</v>
      </c>
      <c r="C10" s="31" t="n">
        <v>0.18</v>
      </c>
      <c r="D10" s="11" t="n">
        <v>180000</v>
      </c>
      <c r="E10" s="3" t="s">
        <v>864</v>
      </c>
    </row>
    <row r="11" customFormat="false" ht="15" hidden="false" customHeight="false" outlineLevel="0" collapsed="false">
      <c r="A11" s="3" t="s">
        <v>801</v>
      </c>
      <c r="B11" s="11" t="n">
        <v>1000000</v>
      </c>
      <c r="C11" s="31" t="n">
        <v>0.0165</v>
      </c>
      <c r="D11" s="11" t="n">
        <v>16500</v>
      </c>
      <c r="E11" s="3" t="s">
        <v>864</v>
      </c>
    </row>
    <row r="12" customFormat="false" ht="15" hidden="false" customHeight="false" outlineLevel="0" collapsed="false">
      <c r="A12" s="3" t="s">
        <v>804</v>
      </c>
      <c r="B12" s="11" t="n">
        <v>1000000</v>
      </c>
      <c r="C12" s="31" t="n">
        <v>0.076</v>
      </c>
      <c r="D12" s="11" t="n">
        <v>76000</v>
      </c>
      <c r="E12" s="3" t="s">
        <v>864</v>
      </c>
    </row>
    <row r="13" customFormat="false" ht="15" hidden="false" customHeight="false" outlineLevel="0" collapsed="false">
      <c r="A13" s="32" t="s">
        <v>865</v>
      </c>
      <c r="B13" s="33" t="n">
        <v>1000000</v>
      </c>
      <c r="C13" s="34" t="n">
        <v>0.2725</v>
      </c>
      <c r="D13" s="33" t="n">
        <v>272500</v>
      </c>
      <c r="E13" s="32" t="s">
        <v>116</v>
      </c>
    </row>
    <row r="14" customFormat="false" ht="15" hidden="false" customHeight="false" outlineLevel="0" collapsed="false">
      <c r="A14" s="32" t="s">
        <v>866</v>
      </c>
      <c r="B14" s="33" t="n">
        <v>727500</v>
      </c>
      <c r="C14" s="34" t="n">
        <v>0.25</v>
      </c>
      <c r="D14" s="33" t="n">
        <v>181875</v>
      </c>
      <c r="E14" s="32" t="s">
        <v>867</v>
      </c>
    </row>
    <row r="15" customFormat="false" ht="15" hidden="false" customHeight="false" outlineLevel="0" collapsed="false">
      <c r="A15" s="3" t="s">
        <v>868</v>
      </c>
      <c r="B15" s="11" t="n">
        <v>181875</v>
      </c>
      <c r="C15" s="31" t="n">
        <v>0.25</v>
      </c>
      <c r="D15" s="11" t="n">
        <v>45469</v>
      </c>
      <c r="E15" s="3" t="s">
        <v>864</v>
      </c>
    </row>
    <row r="16" customFormat="false" ht="15" hidden="false" customHeight="false" outlineLevel="0" collapsed="false">
      <c r="A16" s="3" t="s">
        <v>403</v>
      </c>
      <c r="B16" s="11" t="n">
        <v>181875</v>
      </c>
      <c r="C16" s="31" t="n">
        <v>0.09</v>
      </c>
      <c r="D16" s="11" t="n">
        <v>16369</v>
      </c>
      <c r="E16" s="3" t="s">
        <v>864</v>
      </c>
    </row>
    <row r="17" customFormat="false" ht="15" hidden="false" customHeight="false" outlineLevel="0" collapsed="false">
      <c r="A17" s="32" t="s">
        <v>869</v>
      </c>
      <c r="B17" s="33" t="n">
        <v>181875</v>
      </c>
      <c r="C17" s="34" t="n">
        <v>0.34</v>
      </c>
      <c r="D17" s="33" t="n">
        <v>61838</v>
      </c>
      <c r="E17" s="32" t="s">
        <v>116</v>
      </c>
    </row>
    <row r="18" customFormat="false" ht="15" hidden="false" customHeight="false" outlineLevel="0" collapsed="false">
      <c r="A18" s="3" t="s">
        <v>870</v>
      </c>
      <c r="B18" s="11" t="n">
        <v>1000000</v>
      </c>
      <c r="C18" s="31" t="n">
        <v>0.045</v>
      </c>
      <c r="D18" s="11" t="n">
        <v>45000</v>
      </c>
      <c r="E18" s="3" t="s">
        <v>864</v>
      </c>
    </row>
    <row r="19" customFormat="false" ht="15" hidden="false" customHeight="false" outlineLevel="0" collapsed="false">
      <c r="A19" s="13" t="s">
        <v>871</v>
      </c>
      <c r="B19" s="14"/>
      <c r="C19" s="35" t="n">
        <v>0.379338</v>
      </c>
      <c r="D19" s="29" t="n">
        <v>379338</v>
      </c>
      <c r="E19" s="14"/>
      <c r="F19" s="14"/>
      <c r="G19" s="14"/>
      <c r="H19" s="14"/>
    </row>
    <row r="21" customFormat="false" ht="21.75" hidden="false" customHeight="true" outlineLevel="0" collapsed="false">
      <c r="A21" s="2" t="s">
        <v>872</v>
      </c>
      <c r="B21" s="2"/>
      <c r="C21" s="2"/>
      <c r="D21" s="2"/>
      <c r="E21" s="2"/>
      <c r="F21" s="2"/>
      <c r="G21" s="2"/>
      <c r="H21" s="2"/>
    </row>
    <row r="22" customFormat="false" ht="31.5" hidden="false" customHeight="true" outlineLevel="0" collapsed="false">
      <c r="A22" s="5" t="s">
        <v>859</v>
      </c>
      <c r="B22" s="5" t="s">
        <v>860</v>
      </c>
      <c r="C22" s="5" t="s">
        <v>861</v>
      </c>
      <c r="D22" s="5" t="s">
        <v>862</v>
      </c>
      <c r="E22" s="5" t="s">
        <v>794</v>
      </c>
      <c r="F22" s="5"/>
      <c r="G22" s="5"/>
      <c r="H22" s="5"/>
    </row>
    <row r="23" customFormat="false" ht="23.85" hidden="false" customHeight="false" outlineLevel="0" collapsed="false">
      <c r="A23" s="3" t="s">
        <v>873</v>
      </c>
      <c r="B23" s="11" t="n">
        <v>1000000</v>
      </c>
      <c r="C23" s="31" t="n">
        <v>0</v>
      </c>
      <c r="D23" s="11" t="n">
        <v>0</v>
      </c>
      <c r="E23" s="3" t="s">
        <v>874</v>
      </c>
    </row>
    <row r="24" customFormat="false" ht="23.85" hidden="false" customHeight="false" outlineLevel="0" collapsed="false">
      <c r="A24" s="3" t="s">
        <v>875</v>
      </c>
      <c r="B24" s="11" t="n">
        <v>50000</v>
      </c>
      <c r="C24" s="31" t="n">
        <v>0.0165</v>
      </c>
      <c r="D24" s="11" t="n">
        <v>825</v>
      </c>
      <c r="E24" s="3" t="s">
        <v>876</v>
      </c>
    </row>
    <row r="25" customFormat="false" ht="23.85" hidden="false" customHeight="false" outlineLevel="0" collapsed="false">
      <c r="A25" s="3" t="s">
        <v>877</v>
      </c>
      <c r="B25" s="11" t="n">
        <v>50000</v>
      </c>
      <c r="C25" s="31" t="n">
        <v>0.076</v>
      </c>
      <c r="D25" s="11" t="n">
        <v>3800</v>
      </c>
      <c r="E25" s="3" t="s">
        <v>876</v>
      </c>
    </row>
    <row r="26" customFormat="false" ht="15" hidden="false" customHeight="false" outlineLevel="0" collapsed="false">
      <c r="A26" s="3" t="s">
        <v>878</v>
      </c>
      <c r="B26" s="11" t="n">
        <v>0</v>
      </c>
      <c r="C26" s="31" t="n">
        <v>0</v>
      </c>
      <c r="D26" s="11" t="n">
        <v>0</v>
      </c>
      <c r="E26" s="3" t="s">
        <v>879</v>
      </c>
    </row>
    <row r="27" customFormat="false" ht="15" hidden="false" customHeight="false" outlineLevel="0" collapsed="false">
      <c r="A27" s="3" t="s">
        <v>880</v>
      </c>
      <c r="B27" s="11" t="n">
        <v>0</v>
      </c>
      <c r="C27" s="31" t="n">
        <v>0</v>
      </c>
      <c r="D27" s="11" t="n">
        <v>0</v>
      </c>
      <c r="E27" s="3" t="s">
        <v>879</v>
      </c>
    </row>
    <row r="28" customFormat="false" ht="15" hidden="false" customHeight="false" outlineLevel="0" collapsed="false">
      <c r="A28" s="3" t="s">
        <v>881</v>
      </c>
      <c r="B28" s="11" t="n">
        <v>950000</v>
      </c>
      <c r="C28" s="31" t="n">
        <v>0.015</v>
      </c>
      <c r="D28" s="11" t="n">
        <v>14250</v>
      </c>
      <c r="E28" s="3" t="s">
        <v>882</v>
      </c>
    </row>
    <row r="29" customFormat="false" ht="23.85" hidden="false" customHeight="false" outlineLevel="0" collapsed="false">
      <c r="A29" s="3" t="s">
        <v>883</v>
      </c>
      <c r="B29" s="11" t="n">
        <v>50000</v>
      </c>
      <c r="C29" s="31" t="n">
        <v>0.03</v>
      </c>
      <c r="D29" s="11" t="n">
        <v>1500</v>
      </c>
      <c r="E29" s="3" t="s">
        <v>876</v>
      </c>
    </row>
    <row r="30" customFormat="false" ht="23.85" hidden="false" customHeight="false" outlineLevel="0" collapsed="false">
      <c r="A30" s="3" t="s">
        <v>884</v>
      </c>
      <c r="B30" s="11" t="n">
        <v>50000</v>
      </c>
      <c r="C30" s="31" t="n">
        <v>0.3</v>
      </c>
      <c r="D30" s="11" t="n">
        <v>15000</v>
      </c>
      <c r="E30" s="3" t="s">
        <v>876</v>
      </c>
    </row>
    <row r="31" customFormat="false" ht="15" hidden="false" customHeight="false" outlineLevel="0" collapsed="false">
      <c r="A31" s="13" t="s">
        <v>885</v>
      </c>
      <c r="B31" s="14"/>
      <c r="C31" s="36" t="n">
        <v>0.035375</v>
      </c>
      <c r="D31" s="15" t="n">
        <v>35375</v>
      </c>
      <c r="E31" s="14"/>
      <c r="F31" s="14"/>
      <c r="G31" s="14"/>
      <c r="H31" s="14"/>
    </row>
    <row r="33" customFormat="false" ht="21.75" hidden="false" customHeight="true" outlineLevel="0" collapsed="false">
      <c r="A33" s="2" t="s">
        <v>886</v>
      </c>
      <c r="B33" s="2"/>
      <c r="C33" s="2"/>
      <c r="D33" s="2"/>
      <c r="E33" s="2"/>
      <c r="F33" s="2"/>
      <c r="G33" s="2"/>
      <c r="H33" s="2"/>
    </row>
    <row r="34" customFormat="false" ht="31.5" hidden="false" customHeight="true" outlineLevel="0" collapsed="false">
      <c r="A34" s="5" t="s">
        <v>314</v>
      </c>
      <c r="B34" s="5" t="s">
        <v>887</v>
      </c>
      <c r="C34" s="5" t="s">
        <v>888</v>
      </c>
      <c r="D34" s="5" t="s">
        <v>845</v>
      </c>
      <c r="E34" s="5" t="s">
        <v>846</v>
      </c>
      <c r="F34" s="5"/>
      <c r="G34" s="5"/>
      <c r="H34" s="5"/>
    </row>
    <row r="35" customFormat="false" ht="15" hidden="false" customHeight="false" outlineLevel="0" collapsed="false">
      <c r="A35" s="3" t="s">
        <v>889</v>
      </c>
      <c r="B35" s="11" t="n">
        <v>379338</v>
      </c>
      <c r="C35" s="11" t="n">
        <v>35375</v>
      </c>
      <c r="D35" s="11" t="n">
        <v>-343963</v>
      </c>
      <c r="E35" s="30" t="n">
        <v>-0.906745435469159</v>
      </c>
    </row>
    <row r="36" customFormat="false" ht="15" hidden="false" customHeight="false" outlineLevel="0" collapsed="false">
      <c r="A36" s="3" t="s">
        <v>890</v>
      </c>
      <c r="B36" s="31" t="n">
        <v>0.379338</v>
      </c>
      <c r="C36" s="31" t="n">
        <v>0.035375</v>
      </c>
      <c r="D36" s="31" t="n">
        <v>-0.343963</v>
      </c>
      <c r="E36" s="3" t="s">
        <v>116</v>
      </c>
    </row>
    <row r="37" customFormat="false" ht="23.85" hidden="false" customHeight="false" outlineLevel="0" collapsed="false">
      <c r="A37" s="3" t="s">
        <v>891</v>
      </c>
      <c r="B37" s="11" t="n">
        <v>0</v>
      </c>
      <c r="C37" s="11" t="n">
        <v>171981.5</v>
      </c>
      <c r="D37" s="11" t="n">
        <v>171981.5</v>
      </c>
      <c r="E37" s="3" t="s">
        <v>116</v>
      </c>
    </row>
    <row r="38" customFormat="false" ht="15" hidden="false" customHeight="false" outlineLevel="0" collapsed="false">
      <c r="A38" s="3" t="s">
        <v>892</v>
      </c>
      <c r="B38" s="11" t="n">
        <v>0</v>
      </c>
      <c r="C38" s="11" t="n">
        <v>28875</v>
      </c>
      <c r="D38" s="11" t="n">
        <v>28875</v>
      </c>
      <c r="E38" s="3" t="s">
        <v>116</v>
      </c>
    </row>
    <row r="40" customFormat="false" ht="21.75" hidden="false" customHeight="true" outlineLevel="0" collapsed="false">
      <c r="A40" s="2" t="s">
        <v>893</v>
      </c>
      <c r="B40" s="2"/>
      <c r="C40" s="2"/>
      <c r="D40" s="2"/>
      <c r="E40" s="2"/>
      <c r="F40" s="2"/>
      <c r="G40" s="2"/>
      <c r="H40" s="2"/>
    </row>
    <row r="41" customFormat="false" ht="15" hidden="false" customHeight="true" outlineLevel="0" collapsed="false">
      <c r="A41" s="37" t="s">
        <v>894</v>
      </c>
      <c r="B41" s="37"/>
      <c r="C41" s="37"/>
      <c r="D41" s="37"/>
      <c r="E41" s="37"/>
      <c r="F41" s="37"/>
      <c r="G41" s="37"/>
      <c r="H41" s="37"/>
    </row>
    <row r="42" customFormat="false" ht="15" hidden="false" customHeight="false" outlineLevel="0" collapsed="false">
      <c r="A42" s="37"/>
      <c r="B42" s="37"/>
      <c r="C42" s="37"/>
      <c r="D42" s="37"/>
      <c r="E42" s="37"/>
      <c r="F42" s="37"/>
      <c r="G42" s="37"/>
      <c r="H42" s="37"/>
    </row>
    <row r="43" customFormat="false" ht="15" hidden="false" customHeight="false" outlineLevel="0" collapsed="false">
      <c r="A43" s="37"/>
      <c r="B43" s="37"/>
      <c r="C43" s="37"/>
      <c r="D43" s="37"/>
      <c r="E43" s="37"/>
      <c r="F43" s="37"/>
      <c r="G43" s="37"/>
      <c r="H43" s="37"/>
    </row>
    <row r="44" customFormat="false" ht="15" hidden="false" customHeight="false" outlineLevel="0" collapsed="false">
      <c r="A44" s="37"/>
      <c r="B44" s="37"/>
      <c r="C44" s="37"/>
      <c r="D44" s="37"/>
      <c r="E44" s="37"/>
      <c r="F44" s="37"/>
      <c r="G44" s="37"/>
      <c r="H44" s="37"/>
    </row>
  </sheetData>
  <mergeCells count="8">
    <mergeCell ref="A1:H1"/>
    <mergeCell ref="A3:H3"/>
    <mergeCell ref="A4:H6"/>
    <mergeCell ref="A8:H8"/>
    <mergeCell ref="A21:H21"/>
    <mergeCell ref="A33:H33"/>
    <mergeCell ref="A40:H40"/>
    <mergeCell ref="A41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5" min="3" style="0" width="24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895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896</v>
      </c>
      <c r="B3" s="2"/>
      <c r="C3" s="2"/>
      <c r="D3" s="2"/>
      <c r="E3" s="2"/>
      <c r="F3" s="2"/>
    </row>
    <row r="4" customFormat="false" ht="31.5" hidden="false" customHeight="true" outlineLevel="0" collapsed="false">
      <c r="A4" s="5" t="s">
        <v>525</v>
      </c>
      <c r="B4" s="5" t="s">
        <v>897</v>
      </c>
      <c r="C4" s="5" t="s">
        <v>898</v>
      </c>
      <c r="D4" s="5" t="s">
        <v>899</v>
      </c>
      <c r="E4" s="5" t="s">
        <v>900</v>
      </c>
      <c r="F4" s="5" t="s">
        <v>465</v>
      </c>
    </row>
    <row r="5" customFormat="false" ht="36" hidden="false" customHeight="true" outlineLevel="0" collapsed="false">
      <c r="A5" s="3" t="n">
        <v>1</v>
      </c>
      <c r="B5" s="3" t="s">
        <v>901</v>
      </c>
      <c r="C5" s="3" t="s">
        <v>902</v>
      </c>
      <c r="D5" s="3" t="s">
        <v>902</v>
      </c>
      <c r="E5" s="3" t="s">
        <v>903</v>
      </c>
      <c r="F5" s="3" t="s">
        <v>904</v>
      </c>
    </row>
    <row r="6" customFormat="false" ht="36" hidden="false" customHeight="true" outlineLevel="0" collapsed="false">
      <c r="A6" s="3" t="n">
        <v>2</v>
      </c>
      <c r="B6" s="3" t="s">
        <v>905</v>
      </c>
      <c r="C6" s="3" t="s">
        <v>906</v>
      </c>
      <c r="D6" s="3" t="s">
        <v>906</v>
      </c>
      <c r="E6" s="3" t="s">
        <v>907</v>
      </c>
      <c r="F6" s="3" t="s">
        <v>908</v>
      </c>
    </row>
    <row r="7" customFormat="false" ht="36" hidden="false" customHeight="true" outlineLevel="0" collapsed="false">
      <c r="A7" s="3" t="n">
        <v>3</v>
      </c>
      <c r="B7" s="3" t="s">
        <v>909</v>
      </c>
      <c r="C7" s="3" t="s">
        <v>910</v>
      </c>
      <c r="D7" s="3" t="s">
        <v>910</v>
      </c>
      <c r="E7" s="3" t="s">
        <v>911</v>
      </c>
      <c r="F7" s="3" t="s">
        <v>912</v>
      </c>
    </row>
    <row r="8" customFormat="false" ht="36" hidden="false" customHeight="true" outlineLevel="0" collapsed="false">
      <c r="A8" s="3" t="n">
        <v>4</v>
      </c>
      <c r="B8" s="3" t="s">
        <v>913</v>
      </c>
      <c r="C8" s="3" t="s">
        <v>910</v>
      </c>
      <c r="D8" s="3" t="s">
        <v>910</v>
      </c>
      <c r="E8" s="3" t="s">
        <v>914</v>
      </c>
      <c r="F8" s="3" t="s">
        <v>915</v>
      </c>
    </row>
    <row r="9" customFormat="false" ht="36" hidden="false" customHeight="true" outlineLevel="0" collapsed="false">
      <c r="A9" s="3" t="n">
        <v>5</v>
      </c>
      <c r="B9" s="3" t="s">
        <v>916</v>
      </c>
      <c r="C9" s="3" t="s">
        <v>917</v>
      </c>
      <c r="D9" s="3" t="s">
        <v>917</v>
      </c>
      <c r="E9" s="3" t="s">
        <v>903</v>
      </c>
      <c r="F9" s="3" t="s">
        <v>918</v>
      </c>
    </row>
    <row r="10" customFormat="false" ht="36" hidden="false" customHeight="true" outlineLevel="0" collapsed="false">
      <c r="A10" s="3" t="n">
        <v>6</v>
      </c>
      <c r="B10" s="3" t="s">
        <v>919</v>
      </c>
      <c r="C10" s="3" t="s">
        <v>902</v>
      </c>
      <c r="D10" s="3" t="s">
        <v>902</v>
      </c>
      <c r="E10" s="3" t="s">
        <v>903</v>
      </c>
      <c r="F10" s="3" t="s">
        <v>920</v>
      </c>
    </row>
    <row r="11" customFormat="false" ht="36" hidden="false" customHeight="true" outlineLevel="0" collapsed="false">
      <c r="A11" s="3" t="n">
        <v>7</v>
      </c>
      <c r="B11" s="3" t="s">
        <v>921</v>
      </c>
      <c r="C11" s="3" t="s">
        <v>906</v>
      </c>
      <c r="D11" s="3" t="s">
        <v>906</v>
      </c>
      <c r="E11" s="3" t="s">
        <v>610</v>
      </c>
      <c r="F11" s="3" t="s">
        <v>922</v>
      </c>
    </row>
    <row r="12" customFormat="false" ht="36" hidden="false" customHeight="true" outlineLevel="0" collapsed="false">
      <c r="A12" s="3" t="n">
        <v>8</v>
      </c>
      <c r="B12" s="3" t="s">
        <v>923</v>
      </c>
      <c r="C12" s="3" t="s">
        <v>924</v>
      </c>
      <c r="D12" s="3" t="s">
        <v>924</v>
      </c>
      <c r="E12" s="3" t="s">
        <v>602</v>
      </c>
      <c r="F12" s="3" t="s">
        <v>925</v>
      </c>
    </row>
    <row r="13" customFormat="false" ht="36" hidden="false" customHeight="true" outlineLevel="0" collapsed="false">
      <c r="A13" s="3" t="n">
        <v>9</v>
      </c>
      <c r="B13" s="3" t="s">
        <v>926</v>
      </c>
      <c r="C13" s="3" t="s">
        <v>924</v>
      </c>
      <c r="D13" s="3" t="s">
        <v>924</v>
      </c>
      <c r="E13" s="3" t="s">
        <v>602</v>
      </c>
      <c r="F13" s="3" t="s">
        <v>927</v>
      </c>
    </row>
    <row r="14" customFormat="false" ht="36" hidden="false" customHeight="true" outlineLevel="0" collapsed="false">
      <c r="A14" s="3" t="n">
        <v>10</v>
      </c>
      <c r="B14" s="3" t="s">
        <v>928</v>
      </c>
      <c r="C14" s="3" t="s">
        <v>929</v>
      </c>
      <c r="D14" s="3" t="s">
        <v>929</v>
      </c>
      <c r="E14" s="3" t="s">
        <v>903</v>
      </c>
      <c r="F14" s="3" t="s">
        <v>930</v>
      </c>
    </row>
    <row r="15" customFormat="false" ht="36" hidden="false" customHeight="true" outlineLevel="0" collapsed="false">
      <c r="A15" s="3" t="n">
        <v>11</v>
      </c>
      <c r="B15" s="3" t="s">
        <v>931</v>
      </c>
      <c r="C15" s="3" t="s">
        <v>932</v>
      </c>
      <c r="D15" s="3" t="s">
        <v>116</v>
      </c>
      <c r="E15" s="3" t="s">
        <v>602</v>
      </c>
      <c r="F15" s="3" t="s">
        <v>933</v>
      </c>
    </row>
    <row r="16" customFormat="false" ht="36" hidden="false" customHeight="true" outlineLevel="0" collapsed="false">
      <c r="A16" s="3" t="n">
        <v>12</v>
      </c>
      <c r="B16" s="3" t="s">
        <v>934</v>
      </c>
      <c r="C16" s="3" t="s">
        <v>902</v>
      </c>
      <c r="D16" s="3" t="s">
        <v>116</v>
      </c>
      <c r="E16" s="3" t="s">
        <v>903</v>
      </c>
      <c r="F16" s="3" t="s">
        <v>935</v>
      </c>
    </row>
    <row r="17" customFormat="false" ht="36" hidden="false" customHeight="true" outlineLevel="0" collapsed="false">
      <c r="A17" s="3" t="n">
        <v>13</v>
      </c>
      <c r="B17" s="3" t="s">
        <v>936</v>
      </c>
      <c r="C17" s="3" t="s">
        <v>116</v>
      </c>
      <c r="D17" s="3" t="s">
        <v>910</v>
      </c>
      <c r="E17" s="3" t="s">
        <v>937</v>
      </c>
      <c r="F17" s="3" t="s">
        <v>938</v>
      </c>
    </row>
    <row r="18" customFormat="false" ht="36" hidden="false" customHeight="true" outlineLevel="0" collapsed="false">
      <c r="A18" s="3" t="n">
        <v>14</v>
      </c>
      <c r="B18" s="3" t="s">
        <v>939</v>
      </c>
      <c r="C18" s="3" t="s">
        <v>116</v>
      </c>
      <c r="D18" s="3" t="s">
        <v>940</v>
      </c>
      <c r="E18" s="3" t="s">
        <v>941</v>
      </c>
      <c r="F18" s="3" t="s">
        <v>942</v>
      </c>
    </row>
    <row r="19" customFormat="false" ht="36" hidden="false" customHeight="true" outlineLevel="0" collapsed="false">
      <c r="A19" s="3" t="n">
        <v>15</v>
      </c>
      <c r="B19" s="3" t="s">
        <v>943</v>
      </c>
      <c r="C19" s="3" t="s">
        <v>116</v>
      </c>
      <c r="D19" s="3" t="s">
        <v>910</v>
      </c>
      <c r="E19" s="3" t="s">
        <v>594</v>
      </c>
      <c r="F19" s="3" t="s">
        <v>944</v>
      </c>
    </row>
    <row r="20" customFormat="false" ht="36" hidden="false" customHeight="true" outlineLevel="0" collapsed="false">
      <c r="A20" s="3" t="n">
        <v>16</v>
      </c>
      <c r="B20" s="3" t="s">
        <v>945</v>
      </c>
      <c r="C20" s="3" t="s">
        <v>116</v>
      </c>
      <c r="D20" s="3" t="s">
        <v>946</v>
      </c>
      <c r="E20" s="3" t="s">
        <v>947</v>
      </c>
      <c r="F20" s="3" t="s">
        <v>948</v>
      </c>
    </row>
    <row r="21" customFormat="false" ht="36" hidden="false" customHeight="true" outlineLevel="0" collapsed="false">
      <c r="A21" s="3" t="n">
        <v>17</v>
      </c>
      <c r="B21" s="3" t="s">
        <v>949</v>
      </c>
      <c r="C21" s="3" t="s">
        <v>910</v>
      </c>
      <c r="D21" s="3" t="s">
        <v>910</v>
      </c>
      <c r="E21" s="3" t="s">
        <v>602</v>
      </c>
      <c r="F21" s="3" t="s">
        <v>950</v>
      </c>
    </row>
    <row r="22" customFormat="false" ht="36" hidden="false" customHeight="true" outlineLevel="0" collapsed="false">
      <c r="A22" s="3" t="n">
        <v>18</v>
      </c>
      <c r="B22" s="3" t="s">
        <v>951</v>
      </c>
      <c r="C22" s="3" t="s">
        <v>910</v>
      </c>
      <c r="D22" s="3" t="s">
        <v>910</v>
      </c>
      <c r="E22" s="3" t="s">
        <v>610</v>
      </c>
      <c r="F22" s="3" t="s">
        <v>952</v>
      </c>
    </row>
    <row r="24" customFormat="false" ht="21.75" hidden="false" customHeight="true" outlineLevel="0" collapsed="false">
      <c r="A24" s="2" t="s">
        <v>953</v>
      </c>
      <c r="B24" s="2"/>
      <c r="C24" s="2"/>
      <c r="D24" s="2"/>
      <c r="E24" s="2"/>
      <c r="F24" s="2"/>
    </row>
    <row r="25" customFormat="false" ht="31.5" hidden="false" customHeight="true" outlineLevel="0" collapsed="false">
      <c r="A25" s="5" t="s">
        <v>585</v>
      </c>
      <c r="B25" s="5" t="s">
        <v>586</v>
      </c>
      <c r="C25" s="5" t="s">
        <v>954</v>
      </c>
      <c r="D25" s="5" t="s">
        <v>955</v>
      </c>
      <c r="E25" s="5" t="s">
        <v>588</v>
      </c>
      <c r="F25" s="5" t="s">
        <v>956</v>
      </c>
    </row>
    <row r="26" customFormat="false" ht="36" hidden="false" customHeight="true" outlineLevel="0" collapsed="false">
      <c r="A26" s="3" t="s">
        <v>957</v>
      </c>
      <c r="B26" s="3" t="s">
        <v>958</v>
      </c>
      <c r="C26" s="3" t="s">
        <v>959</v>
      </c>
      <c r="D26" s="3" t="s">
        <v>116</v>
      </c>
      <c r="E26" s="3" t="s">
        <v>602</v>
      </c>
      <c r="F26" s="3" t="s">
        <v>960</v>
      </c>
    </row>
    <row r="27" customFormat="false" ht="36" hidden="false" customHeight="true" outlineLevel="0" collapsed="false">
      <c r="A27" s="3" t="s">
        <v>961</v>
      </c>
      <c r="B27" s="3" t="s">
        <v>962</v>
      </c>
      <c r="C27" s="3" t="s">
        <v>963</v>
      </c>
      <c r="D27" s="3" t="s">
        <v>964</v>
      </c>
      <c r="E27" s="3" t="s">
        <v>594</v>
      </c>
      <c r="F27" s="3" t="s">
        <v>965</v>
      </c>
    </row>
    <row r="28" customFormat="false" ht="36" hidden="false" customHeight="true" outlineLevel="0" collapsed="false">
      <c r="A28" s="3" t="s">
        <v>966</v>
      </c>
      <c r="B28" s="3" t="s">
        <v>967</v>
      </c>
      <c r="C28" s="3" t="s">
        <v>597</v>
      </c>
      <c r="D28" s="3" t="s">
        <v>968</v>
      </c>
      <c r="E28" s="3" t="s">
        <v>969</v>
      </c>
      <c r="F28" s="3" t="s">
        <v>970</v>
      </c>
    </row>
    <row r="29" customFormat="false" ht="36" hidden="false" customHeight="true" outlineLevel="0" collapsed="false">
      <c r="A29" s="3" t="s">
        <v>971</v>
      </c>
      <c r="B29" s="3" t="s">
        <v>972</v>
      </c>
      <c r="C29" s="3" t="s">
        <v>973</v>
      </c>
      <c r="D29" s="3" t="s">
        <v>974</v>
      </c>
      <c r="E29" s="3" t="s">
        <v>941</v>
      </c>
      <c r="F29" s="3" t="s">
        <v>975</v>
      </c>
    </row>
    <row r="30" customFormat="false" ht="36" hidden="false" customHeight="true" outlineLevel="0" collapsed="false">
      <c r="A30" s="3" t="s">
        <v>976</v>
      </c>
      <c r="B30" s="3" t="s">
        <v>977</v>
      </c>
      <c r="C30" s="3" t="s">
        <v>978</v>
      </c>
      <c r="D30" s="3" t="s">
        <v>979</v>
      </c>
      <c r="E30" s="3" t="s">
        <v>602</v>
      </c>
      <c r="F30" s="3" t="s">
        <v>980</v>
      </c>
    </row>
    <row r="31" customFormat="false" ht="36" hidden="false" customHeight="true" outlineLevel="0" collapsed="false">
      <c r="A31" s="3" t="s">
        <v>981</v>
      </c>
      <c r="B31" s="3" t="s">
        <v>982</v>
      </c>
      <c r="C31" s="3" t="s">
        <v>983</v>
      </c>
      <c r="D31" s="3" t="s">
        <v>984</v>
      </c>
      <c r="E31" s="3" t="s">
        <v>602</v>
      </c>
      <c r="F31" s="3" t="s">
        <v>985</v>
      </c>
    </row>
    <row r="32" customFormat="false" ht="36" hidden="false" customHeight="true" outlineLevel="0" collapsed="false">
      <c r="A32" s="3" t="s">
        <v>986</v>
      </c>
      <c r="B32" s="3" t="s">
        <v>987</v>
      </c>
      <c r="C32" s="3" t="s">
        <v>978</v>
      </c>
      <c r="D32" s="3" t="s">
        <v>988</v>
      </c>
      <c r="E32" s="3" t="s">
        <v>989</v>
      </c>
      <c r="F32" s="3" t="s">
        <v>611</v>
      </c>
    </row>
    <row r="33" customFormat="false" ht="36" hidden="false" customHeight="true" outlineLevel="0" collapsed="false">
      <c r="A33" s="3" t="s">
        <v>990</v>
      </c>
      <c r="B33" s="3" t="s">
        <v>991</v>
      </c>
      <c r="C33" s="3" t="s">
        <v>959</v>
      </c>
      <c r="D33" s="3" t="s">
        <v>992</v>
      </c>
      <c r="E33" s="3" t="s">
        <v>610</v>
      </c>
      <c r="F33" s="3" t="s">
        <v>993</v>
      </c>
    </row>
    <row r="35" customFormat="false" ht="21.75" hidden="false" customHeight="true" outlineLevel="0" collapsed="false">
      <c r="A35" s="2" t="s">
        <v>994</v>
      </c>
      <c r="B35" s="2"/>
      <c r="C35" s="2"/>
      <c r="D35" s="2"/>
      <c r="E35" s="2"/>
      <c r="F35" s="2"/>
    </row>
    <row r="36" customFormat="false" ht="31.5" hidden="false" customHeight="true" outlineLevel="0" collapsed="false">
      <c r="A36" s="5" t="s">
        <v>995</v>
      </c>
      <c r="B36" s="5" t="s">
        <v>996</v>
      </c>
      <c r="C36" s="5" t="s">
        <v>997</v>
      </c>
      <c r="D36" s="5" t="s">
        <v>998</v>
      </c>
      <c r="E36" s="5" t="s">
        <v>465</v>
      </c>
      <c r="F36" s="5"/>
    </row>
    <row r="37" customFormat="false" ht="36" hidden="false" customHeight="true" outlineLevel="0" collapsed="false">
      <c r="A37" s="3" t="s">
        <v>999</v>
      </c>
      <c r="B37" s="3" t="s">
        <v>1000</v>
      </c>
      <c r="C37" s="3" t="s">
        <v>1001</v>
      </c>
      <c r="D37" s="3" t="s">
        <v>602</v>
      </c>
      <c r="E37" s="3" t="s">
        <v>1002</v>
      </c>
    </row>
    <row r="38" customFormat="false" ht="36" hidden="false" customHeight="true" outlineLevel="0" collapsed="false">
      <c r="A38" s="3" t="s">
        <v>1003</v>
      </c>
      <c r="B38" s="3" t="s">
        <v>1000</v>
      </c>
      <c r="C38" s="3" t="s">
        <v>1004</v>
      </c>
      <c r="D38" s="3" t="s">
        <v>610</v>
      </c>
      <c r="E38" s="3" t="s">
        <v>1005</v>
      </c>
    </row>
    <row r="39" customFormat="false" ht="36" hidden="false" customHeight="true" outlineLevel="0" collapsed="false">
      <c r="A39" s="3" t="s">
        <v>1006</v>
      </c>
      <c r="B39" s="3" t="s">
        <v>824</v>
      </c>
      <c r="C39" s="3" t="s">
        <v>1007</v>
      </c>
      <c r="D39" s="3" t="s">
        <v>941</v>
      </c>
      <c r="E39" s="3" t="s">
        <v>1008</v>
      </c>
    </row>
    <row r="40" customFormat="false" ht="36" hidden="false" customHeight="true" outlineLevel="0" collapsed="false">
      <c r="A40" s="3" t="s">
        <v>1009</v>
      </c>
      <c r="B40" s="3" t="s">
        <v>1010</v>
      </c>
      <c r="C40" s="3" t="s">
        <v>1011</v>
      </c>
      <c r="D40" s="3" t="s">
        <v>937</v>
      </c>
      <c r="E40" s="3" t="s">
        <v>1012</v>
      </c>
    </row>
    <row r="41" customFormat="false" ht="36" hidden="false" customHeight="true" outlineLevel="0" collapsed="false">
      <c r="A41" s="3" t="s">
        <v>1013</v>
      </c>
      <c r="B41" s="3" t="s">
        <v>1014</v>
      </c>
      <c r="C41" s="3" t="s">
        <v>1015</v>
      </c>
      <c r="D41" s="3" t="s">
        <v>941</v>
      </c>
      <c r="E41" s="3" t="s">
        <v>1016</v>
      </c>
    </row>
    <row r="42" customFormat="false" ht="36" hidden="false" customHeight="true" outlineLevel="0" collapsed="false">
      <c r="A42" s="3" t="s">
        <v>1017</v>
      </c>
      <c r="B42" s="3" t="s">
        <v>1018</v>
      </c>
      <c r="C42" s="3" t="s">
        <v>1019</v>
      </c>
      <c r="D42" s="3" t="s">
        <v>1020</v>
      </c>
      <c r="E42" s="3" t="s">
        <v>1021</v>
      </c>
    </row>
    <row r="43" customFormat="false" ht="36" hidden="false" customHeight="true" outlineLevel="0" collapsed="false">
      <c r="A43" s="3" t="s">
        <v>1022</v>
      </c>
      <c r="B43" s="3" t="s">
        <v>1023</v>
      </c>
      <c r="C43" s="3" t="s">
        <v>1024</v>
      </c>
      <c r="D43" s="3" t="s">
        <v>602</v>
      </c>
      <c r="E43" s="3" t="s">
        <v>1025</v>
      </c>
    </row>
  </sheetData>
  <mergeCells count="4">
    <mergeCell ref="A1:F1"/>
    <mergeCell ref="A3:F3"/>
    <mergeCell ref="A24:F2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70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1026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1027</v>
      </c>
      <c r="B3" s="2"/>
      <c r="C3" s="2"/>
      <c r="D3" s="2"/>
      <c r="E3" s="2"/>
      <c r="F3" s="2"/>
    </row>
    <row r="4" customFormat="false" ht="31.5" hidden="false" customHeight="true" outlineLevel="0" collapsed="false">
      <c r="A4" s="5" t="s">
        <v>525</v>
      </c>
      <c r="B4" s="5" t="s">
        <v>1028</v>
      </c>
      <c r="C4" s="5" t="s">
        <v>1029</v>
      </c>
      <c r="D4" s="5" t="s">
        <v>1030</v>
      </c>
      <c r="E4" s="5" t="s">
        <v>1031</v>
      </c>
      <c r="F4" s="5" t="s">
        <v>1032</v>
      </c>
    </row>
    <row r="5" customFormat="false" ht="49.5" hidden="false" customHeight="true" outlineLevel="0" collapsed="false">
      <c r="A5" s="3" t="n">
        <v>1</v>
      </c>
      <c r="B5" s="3" t="s">
        <v>1033</v>
      </c>
      <c r="C5" s="3" t="s">
        <v>1034</v>
      </c>
      <c r="D5" s="3" t="s">
        <v>1035</v>
      </c>
      <c r="E5" s="3" t="s">
        <v>1036</v>
      </c>
      <c r="F5" s="3" t="s">
        <v>1037</v>
      </c>
    </row>
    <row r="6" customFormat="false" ht="49.5" hidden="false" customHeight="true" outlineLevel="0" collapsed="false">
      <c r="A6" s="3" t="n">
        <v>2</v>
      </c>
      <c r="B6" s="3" t="s">
        <v>1033</v>
      </c>
      <c r="C6" s="3" t="s">
        <v>1038</v>
      </c>
      <c r="D6" s="3" t="s">
        <v>1039</v>
      </c>
      <c r="E6" s="3" t="s">
        <v>1040</v>
      </c>
      <c r="F6" s="3" t="s">
        <v>1037</v>
      </c>
    </row>
    <row r="7" customFormat="false" ht="49.5" hidden="false" customHeight="true" outlineLevel="0" collapsed="false">
      <c r="A7" s="3" t="n">
        <v>3</v>
      </c>
      <c r="B7" s="3" t="s">
        <v>1033</v>
      </c>
      <c r="C7" s="3" t="s">
        <v>1041</v>
      </c>
      <c r="D7" s="3" t="s">
        <v>1042</v>
      </c>
      <c r="E7" s="3" t="s">
        <v>1043</v>
      </c>
      <c r="F7" s="3" t="s">
        <v>1037</v>
      </c>
    </row>
    <row r="8" customFormat="false" ht="49.5" hidden="false" customHeight="true" outlineLevel="0" collapsed="false">
      <c r="A8" s="3" t="n">
        <v>4</v>
      </c>
      <c r="B8" s="3" t="s">
        <v>1033</v>
      </c>
      <c r="C8" s="3" t="s">
        <v>1044</v>
      </c>
      <c r="D8" s="3" t="s">
        <v>1045</v>
      </c>
      <c r="E8" s="3" t="s">
        <v>1046</v>
      </c>
      <c r="F8" s="3" t="s">
        <v>1037</v>
      </c>
    </row>
    <row r="9" customFormat="false" ht="49.5" hidden="false" customHeight="true" outlineLevel="0" collapsed="false">
      <c r="A9" s="3" t="n">
        <v>5</v>
      </c>
      <c r="B9" s="3" t="s">
        <v>1033</v>
      </c>
      <c r="C9" s="3" t="s">
        <v>1047</v>
      </c>
      <c r="D9" s="3" t="s">
        <v>1048</v>
      </c>
      <c r="E9" s="3" t="s">
        <v>1049</v>
      </c>
      <c r="F9" s="3" t="s">
        <v>1037</v>
      </c>
    </row>
    <row r="11" customFormat="false" ht="21.75" hidden="false" customHeight="true" outlineLevel="0" collapsed="false">
      <c r="A11" s="2" t="s">
        <v>1050</v>
      </c>
      <c r="B11" s="2"/>
      <c r="C11" s="2"/>
      <c r="D11" s="2"/>
      <c r="E11" s="2"/>
      <c r="F11" s="2"/>
    </row>
    <row r="12" customFormat="false" ht="31.5" hidden="false" customHeight="true" outlineLevel="0" collapsed="false">
      <c r="A12" s="5" t="s">
        <v>525</v>
      </c>
      <c r="B12" s="5" t="s">
        <v>1028</v>
      </c>
      <c r="C12" s="5" t="s">
        <v>1029</v>
      </c>
      <c r="D12" s="5" t="s">
        <v>1030</v>
      </c>
      <c r="E12" s="5" t="s">
        <v>1031</v>
      </c>
      <c r="F12" s="5" t="s">
        <v>1032</v>
      </c>
    </row>
    <row r="13" customFormat="false" ht="60" hidden="false" customHeight="true" outlineLevel="0" collapsed="false">
      <c r="A13" s="3" t="n">
        <v>1</v>
      </c>
      <c r="B13" s="3" t="s">
        <v>1051</v>
      </c>
      <c r="C13" s="3" t="s">
        <v>1052</v>
      </c>
      <c r="D13" s="3" t="s">
        <v>1053</v>
      </c>
      <c r="E13" s="3" t="s">
        <v>1054</v>
      </c>
      <c r="F13" s="3" t="s">
        <v>1037</v>
      </c>
    </row>
    <row r="14" customFormat="false" ht="60" hidden="false" customHeight="true" outlineLevel="0" collapsed="false">
      <c r="A14" s="3" t="n">
        <v>2</v>
      </c>
      <c r="B14" s="3" t="s">
        <v>1051</v>
      </c>
      <c r="C14" s="3" t="s">
        <v>1055</v>
      </c>
      <c r="D14" s="3" t="s">
        <v>1056</v>
      </c>
      <c r="E14" s="3" t="s">
        <v>1057</v>
      </c>
      <c r="F14" s="3" t="s">
        <v>1058</v>
      </c>
    </row>
    <row r="15" customFormat="false" ht="60" hidden="false" customHeight="true" outlineLevel="0" collapsed="false">
      <c r="A15" s="3" t="n">
        <v>3</v>
      </c>
      <c r="B15" s="3" t="s">
        <v>1051</v>
      </c>
      <c r="C15" s="3" t="s">
        <v>1059</v>
      </c>
      <c r="D15" s="3" t="s">
        <v>1060</v>
      </c>
      <c r="E15" s="3" t="s">
        <v>1061</v>
      </c>
      <c r="F15" s="3" t="s">
        <v>1062</v>
      </c>
    </row>
    <row r="16" customFormat="false" ht="60" hidden="false" customHeight="true" outlineLevel="0" collapsed="false">
      <c r="A16" s="3" t="n">
        <v>4</v>
      </c>
      <c r="B16" s="3" t="s">
        <v>1051</v>
      </c>
      <c r="C16" s="3" t="s">
        <v>1063</v>
      </c>
      <c r="D16" s="3" t="s">
        <v>1064</v>
      </c>
      <c r="E16" s="3" t="s">
        <v>1065</v>
      </c>
      <c r="F16" s="3" t="s">
        <v>1037</v>
      </c>
    </row>
    <row r="17" customFormat="false" ht="60" hidden="false" customHeight="true" outlineLevel="0" collapsed="false">
      <c r="A17" s="3" t="n">
        <v>5</v>
      </c>
      <c r="B17" s="3" t="s">
        <v>1051</v>
      </c>
      <c r="C17" s="3" t="s">
        <v>1066</v>
      </c>
      <c r="D17" s="3" t="s">
        <v>1067</v>
      </c>
      <c r="E17" s="3" t="s">
        <v>1068</v>
      </c>
      <c r="F17" s="3" t="s">
        <v>1037</v>
      </c>
    </row>
    <row r="18" customFormat="false" ht="60" hidden="false" customHeight="true" outlineLevel="0" collapsed="false">
      <c r="A18" s="3" t="n">
        <v>6</v>
      </c>
      <c r="B18" s="3" t="s">
        <v>1051</v>
      </c>
      <c r="C18" s="3" t="s">
        <v>1069</v>
      </c>
      <c r="D18" s="3" t="s">
        <v>1070</v>
      </c>
      <c r="E18" s="3" t="s">
        <v>1071</v>
      </c>
      <c r="F18" s="3" t="s">
        <v>1037</v>
      </c>
    </row>
    <row r="19" customFormat="false" ht="60" hidden="false" customHeight="true" outlineLevel="0" collapsed="false">
      <c r="A19" s="3" t="n">
        <v>7</v>
      </c>
      <c r="B19" s="3" t="s">
        <v>1051</v>
      </c>
      <c r="C19" s="3" t="s">
        <v>1072</v>
      </c>
      <c r="D19" s="3" t="s">
        <v>1073</v>
      </c>
      <c r="E19" s="3" t="s">
        <v>1074</v>
      </c>
      <c r="F19" s="3" t="s">
        <v>1075</v>
      </c>
    </row>
    <row r="21" customFormat="false" ht="21.75" hidden="false" customHeight="true" outlineLevel="0" collapsed="false">
      <c r="A21" s="2" t="s">
        <v>1076</v>
      </c>
      <c r="B21" s="2"/>
      <c r="C21" s="2"/>
      <c r="D21" s="2"/>
      <c r="E21" s="2"/>
      <c r="F21" s="2"/>
    </row>
    <row r="22" customFormat="false" ht="31.5" hidden="false" customHeight="true" outlineLevel="0" collapsed="false">
      <c r="A22" s="5" t="s">
        <v>525</v>
      </c>
      <c r="B22" s="5" t="s">
        <v>1028</v>
      </c>
      <c r="C22" s="5" t="s">
        <v>1029</v>
      </c>
      <c r="D22" s="5" t="s">
        <v>1030</v>
      </c>
      <c r="E22" s="5" t="s">
        <v>1031</v>
      </c>
      <c r="F22" s="5" t="s">
        <v>1032</v>
      </c>
    </row>
    <row r="23" customFormat="false" ht="99.75" hidden="false" customHeight="true" outlineLevel="0" collapsed="false">
      <c r="A23" s="3" t="n">
        <v>1</v>
      </c>
      <c r="B23" s="3" t="s">
        <v>1077</v>
      </c>
      <c r="C23" s="3" t="s">
        <v>1078</v>
      </c>
      <c r="D23" s="3" t="s">
        <v>1079</v>
      </c>
      <c r="E23" s="3" t="s">
        <v>1080</v>
      </c>
      <c r="F23" s="3" t="s">
        <v>1081</v>
      </c>
    </row>
    <row r="24" customFormat="false" ht="49.5" hidden="false" customHeight="true" outlineLevel="0" collapsed="false">
      <c r="A24" s="3" t="n">
        <v>2</v>
      </c>
      <c r="B24" s="3" t="s">
        <v>1082</v>
      </c>
      <c r="C24" s="3" t="s">
        <v>1083</v>
      </c>
      <c r="D24" s="3" t="s">
        <v>1084</v>
      </c>
      <c r="E24" s="3" t="s">
        <v>1085</v>
      </c>
      <c r="F24" s="3" t="s">
        <v>1037</v>
      </c>
    </row>
    <row r="25" customFormat="false" ht="49.5" hidden="false" customHeight="true" outlineLevel="0" collapsed="false">
      <c r="A25" s="3" t="n">
        <v>3</v>
      </c>
      <c r="B25" s="3" t="s">
        <v>1086</v>
      </c>
      <c r="C25" s="3" t="s">
        <v>1087</v>
      </c>
      <c r="D25" s="3" t="s">
        <v>1088</v>
      </c>
      <c r="E25" s="3" t="s">
        <v>1089</v>
      </c>
      <c r="F25" s="3" t="s">
        <v>1037</v>
      </c>
    </row>
    <row r="26" customFormat="false" ht="49.5" hidden="false" customHeight="true" outlineLevel="0" collapsed="false">
      <c r="A26" s="3" t="n">
        <v>4</v>
      </c>
      <c r="B26" s="3" t="s">
        <v>1090</v>
      </c>
      <c r="C26" s="3" t="s">
        <v>1091</v>
      </c>
      <c r="D26" s="3" t="s">
        <v>1092</v>
      </c>
      <c r="E26" s="3" t="s">
        <v>1093</v>
      </c>
      <c r="F26" s="3" t="s">
        <v>1094</v>
      </c>
    </row>
    <row r="28" customFormat="false" ht="21.75" hidden="false" customHeight="true" outlineLevel="0" collapsed="false">
      <c r="A28" s="2" t="s">
        <v>1095</v>
      </c>
      <c r="B28" s="2"/>
      <c r="C28" s="2"/>
      <c r="D28" s="2"/>
      <c r="E28" s="2"/>
      <c r="F28" s="2"/>
    </row>
    <row r="29" customFormat="false" ht="31.5" hidden="false" customHeight="true" outlineLevel="0" collapsed="false">
      <c r="A29" s="5" t="s">
        <v>525</v>
      </c>
      <c r="B29" s="5" t="s">
        <v>1028</v>
      </c>
      <c r="C29" s="5" t="s">
        <v>1029</v>
      </c>
      <c r="D29" s="5" t="s">
        <v>1030</v>
      </c>
      <c r="E29" s="5" t="s">
        <v>1031</v>
      </c>
      <c r="F29" s="5" t="s">
        <v>1032</v>
      </c>
    </row>
    <row r="30" customFormat="false" ht="49.5" hidden="false" customHeight="true" outlineLevel="0" collapsed="false">
      <c r="A30" s="3" t="n">
        <v>1</v>
      </c>
      <c r="B30" s="3" t="s">
        <v>1051</v>
      </c>
      <c r="C30" s="3" t="s">
        <v>1096</v>
      </c>
      <c r="D30" s="3" t="s">
        <v>1097</v>
      </c>
      <c r="E30" s="3" t="s">
        <v>1098</v>
      </c>
      <c r="F30" s="3" t="s">
        <v>1037</v>
      </c>
    </row>
    <row r="31" customFormat="false" ht="49.5" hidden="false" customHeight="true" outlineLevel="0" collapsed="false">
      <c r="A31" s="3" t="n">
        <v>2</v>
      </c>
      <c r="B31" s="3" t="s">
        <v>1099</v>
      </c>
      <c r="C31" s="3" t="s">
        <v>1100</v>
      </c>
      <c r="D31" s="3" t="s">
        <v>1101</v>
      </c>
      <c r="E31" s="3" t="s">
        <v>1102</v>
      </c>
      <c r="F31" s="3" t="s">
        <v>1037</v>
      </c>
    </row>
    <row r="32" customFormat="false" ht="49.5" hidden="false" customHeight="true" outlineLevel="0" collapsed="false">
      <c r="A32" s="3" t="n">
        <v>3</v>
      </c>
      <c r="B32" s="3" t="s">
        <v>1103</v>
      </c>
      <c r="C32" s="3" t="s">
        <v>1104</v>
      </c>
      <c r="D32" s="3" t="s">
        <v>1105</v>
      </c>
      <c r="E32" s="3" t="s">
        <v>1106</v>
      </c>
      <c r="F32" s="3" t="s">
        <v>1037</v>
      </c>
    </row>
    <row r="33" customFormat="false" ht="49.5" hidden="false" customHeight="true" outlineLevel="0" collapsed="false">
      <c r="A33" s="3" t="n">
        <v>4</v>
      </c>
      <c r="B33" s="3" t="s">
        <v>1107</v>
      </c>
      <c r="C33" s="3" t="s">
        <v>1108</v>
      </c>
      <c r="D33" s="3" t="s">
        <v>1109</v>
      </c>
      <c r="E33" s="3" t="s">
        <v>1110</v>
      </c>
      <c r="F33" s="3" t="s">
        <v>1037</v>
      </c>
    </row>
    <row r="34" customFormat="false" ht="49.5" hidden="false" customHeight="true" outlineLevel="0" collapsed="false">
      <c r="A34" s="3" t="n">
        <v>5</v>
      </c>
      <c r="B34" s="3" t="s">
        <v>1111</v>
      </c>
      <c r="C34" s="3" t="s">
        <v>116</v>
      </c>
      <c r="D34" s="3" t="s">
        <v>1112</v>
      </c>
      <c r="E34" s="3" t="s">
        <v>1113</v>
      </c>
      <c r="F34" s="3" t="s">
        <v>1114</v>
      </c>
    </row>
    <row r="35" customFormat="false" ht="49.5" hidden="false" customHeight="true" outlineLevel="0" collapsed="false">
      <c r="A35" s="3" t="n">
        <v>6</v>
      </c>
      <c r="B35" s="3" t="s">
        <v>1115</v>
      </c>
      <c r="C35" s="3" t="s">
        <v>116</v>
      </c>
      <c r="D35" s="3" t="s">
        <v>1116</v>
      </c>
      <c r="E35" s="3" t="s">
        <v>1117</v>
      </c>
      <c r="F35" s="3" t="s">
        <v>1118</v>
      </c>
    </row>
    <row r="37" customFormat="false" ht="21.75" hidden="false" customHeight="true" outlineLevel="0" collapsed="false">
      <c r="A37" s="2" t="s">
        <v>1119</v>
      </c>
      <c r="B37" s="2"/>
      <c r="C37" s="2"/>
      <c r="D37" s="2"/>
      <c r="E37" s="2"/>
      <c r="F37" s="2"/>
    </row>
    <row r="38" customFormat="false" ht="31.5" hidden="false" customHeight="true" outlineLevel="0" collapsed="false">
      <c r="A38" s="5" t="s">
        <v>525</v>
      </c>
      <c r="B38" s="5" t="s">
        <v>1028</v>
      </c>
      <c r="C38" s="5" t="s">
        <v>1029</v>
      </c>
      <c r="D38" s="5" t="s">
        <v>1030</v>
      </c>
      <c r="E38" s="5" t="s">
        <v>1031</v>
      </c>
      <c r="F38" s="5" t="s">
        <v>1032</v>
      </c>
    </row>
    <row r="39" customFormat="false" ht="49.5" hidden="false" customHeight="true" outlineLevel="0" collapsed="false">
      <c r="A39" s="3" t="n">
        <v>1</v>
      </c>
      <c r="B39" s="3" t="s">
        <v>1120</v>
      </c>
      <c r="C39" s="3" t="s">
        <v>116</v>
      </c>
      <c r="D39" s="3" t="s">
        <v>1121</v>
      </c>
      <c r="E39" s="3" t="s">
        <v>1122</v>
      </c>
      <c r="F39" s="3" t="s">
        <v>1123</v>
      </c>
    </row>
    <row r="40" customFormat="false" ht="49.5" hidden="false" customHeight="true" outlineLevel="0" collapsed="false">
      <c r="A40" s="3" t="n">
        <v>2</v>
      </c>
      <c r="B40" s="3" t="s">
        <v>1124</v>
      </c>
      <c r="C40" s="3" t="s">
        <v>116</v>
      </c>
      <c r="D40" s="3" t="s">
        <v>1125</v>
      </c>
      <c r="E40" s="3" t="s">
        <v>1126</v>
      </c>
      <c r="F40" s="3" t="s">
        <v>1037</v>
      </c>
    </row>
    <row r="41" customFormat="false" ht="49.5" hidden="false" customHeight="true" outlineLevel="0" collapsed="false">
      <c r="A41" s="3" t="n">
        <v>3</v>
      </c>
      <c r="B41" s="3" t="s">
        <v>1127</v>
      </c>
      <c r="C41" s="3" t="s">
        <v>1128</v>
      </c>
      <c r="D41" s="3" t="s">
        <v>1129</v>
      </c>
      <c r="E41" s="3" t="s">
        <v>1130</v>
      </c>
      <c r="F41" s="3" t="s">
        <v>1037</v>
      </c>
    </row>
    <row r="42" customFormat="false" ht="49.5" hidden="false" customHeight="true" outlineLevel="0" collapsed="false">
      <c r="A42" s="3" t="n">
        <v>4</v>
      </c>
      <c r="B42" s="3" t="s">
        <v>1131</v>
      </c>
      <c r="C42" s="3" t="s">
        <v>1132</v>
      </c>
      <c r="D42" s="3" t="s">
        <v>1133</v>
      </c>
      <c r="E42" s="3" t="s">
        <v>1134</v>
      </c>
      <c r="F42" s="3" t="s">
        <v>1037</v>
      </c>
    </row>
    <row r="43" customFormat="false" ht="49.5" hidden="false" customHeight="true" outlineLevel="0" collapsed="false">
      <c r="A43" s="3" t="n">
        <v>5</v>
      </c>
      <c r="B43" s="3" t="s">
        <v>1135</v>
      </c>
      <c r="C43" s="3" t="s">
        <v>1136</v>
      </c>
      <c r="D43" s="3" t="s">
        <v>1137</v>
      </c>
      <c r="E43" s="3" t="s">
        <v>1138</v>
      </c>
      <c r="F43" s="3" t="s">
        <v>1037</v>
      </c>
    </row>
    <row r="44" customFormat="false" ht="49.5" hidden="false" customHeight="true" outlineLevel="0" collapsed="false">
      <c r="A44" s="3" t="n">
        <v>6</v>
      </c>
      <c r="B44" s="3" t="s">
        <v>1139</v>
      </c>
      <c r="C44" s="3" t="s">
        <v>1083</v>
      </c>
      <c r="D44" s="3" t="s">
        <v>1140</v>
      </c>
      <c r="E44" s="3" t="s">
        <v>1141</v>
      </c>
      <c r="F44" s="3" t="s">
        <v>1037</v>
      </c>
    </row>
    <row r="46" customFormat="false" ht="21.75" hidden="false" customHeight="true" outlineLevel="0" collapsed="false">
      <c r="A46" s="2" t="s">
        <v>1142</v>
      </c>
      <c r="B46" s="2"/>
      <c r="C46" s="2"/>
      <c r="D46" s="2"/>
      <c r="E46" s="2"/>
      <c r="F46" s="2"/>
    </row>
    <row r="47" customFormat="false" ht="31.5" hidden="false" customHeight="true" outlineLevel="0" collapsed="false">
      <c r="A47" s="5" t="s">
        <v>525</v>
      </c>
      <c r="B47" s="5" t="s">
        <v>1028</v>
      </c>
      <c r="C47" s="5" t="s">
        <v>1029</v>
      </c>
      <c r="D47" s="5" t="s">
        <v>1030</v>
      </c>
      <c r="E47" s="5" t="s">
        <v>1031</v>
      </c>
      <c r="F47" s="5" t="s">
        <v>1032</v>
      </c>
    </row>
    <row r="48" customFormat="false" ht="60" hidden="false" customHeight="true" outlineLevel="0" collapsed="false">
      <c r="A48" s="3" t="n">
        <v>1</v>
      </c>
      <c r="B48" s="3" t="s">
        <v>1143</v>
      </c>
      <c r="C48" s="3" t="s">
        <v>1144</v>
      </c>
      <c r="D48" s="3" t="s">
        <v>1145</v>
      </c>
      <c r="E48" s="3" t="s">
        <v>1146</v>
      </c>
      <c r="F48" s="3" t="s">
        <v>1147</v>
      </c>
    </row>
    <row r="49" customFormat="false" ht="60" hidden="false" customHeight="true" outlineLevel="0" collapsed="false">
      <c r="A49" s="3" t="n">
        <v>2</v>
      </c>
      <c r="B49" s="3" t="s">
        <v>1148</v>
      </c>
      <c r="C49" s="3" t="s">
        <v>1149</v>
      </c>
      <c r="D49" s="3" t="s">
        <v>1150</v>
      </c>
      <c r="E49" s="3" t="s">
        <v>1151</v>
      </c>
      <c r="F49" s="3" t="s">
        <v>1152</v>
      </c>
    </row>
    <row r="50" customFormat="false" ht="60" hidden="false" customHeight="true" outlineLevel="0" collapsed="false">
      <c r="A50" s="3" t="n">
        <v>3</v>
      </c>
      <c r="B50" s="3" t="s">
        <v>1148</v>
      </c>
      <c r="C50" s="3" t="s">
        <v>1153</v>
      </c>
      <c r="D50" s="3" t="s">
        <v>1154</v>
      </c>
      <c r="E50" s="3" t="s">
        <v>1155</v>
      </c>
      <c r="F50" s="3" t="s">
        <v>1037</v>
      </c>
    </row>
    <row r="51" customFormat="false" ht="60" hidden="false" customHeight="true" outlineLevel="0" collapsed="false">
      <c r="A51" s="3" t="n">
        <v>4</v>
      </c>
      <c r="B51" s="3" t="s">
        <v>1148</v>
      </c>
      <c r="C51" s="3" t="s">
        <v>1156</v>
      </c>
      <c r="D51" s="3" t="s">
        <v>1157</v>
      </c>
      <c r="E51" s="3" t="s">
        <v>1158</v>
      </c>
      <c r="F51" s="3" t="s">
        <v>1037</v>
      </c>
    </row>
    <row r="52" customFormat="false" ht="60" hidden="false" customHeight="true" outlineLevel="0" collapsed="false">
      <c r="A52" s="3" t="n">
        <v>5</v>
      </c>
      <c r="B52" s="3" t="s">
        <v>1148</v>
      </c>
      <c r="C52" s="3" t="s">
        <v>1159</v>
      </c>
      <c r="D52" s="3" t="s">
        <v>1160</v>
      </c>
      <c r="E52" s="3" t="s">
        <v>1161</v>
      </c>
      <c r="F52" s="3" t="s">
        <v>1037</v>
      </c>
    </row>
    <row r="53" customFormat="false" ht="60" hidden="false" customHeight="true" outlineLevel="0" collapsed="false">
      <c r="A53" s="3" t="n">
        <v>6</v>
      </c>
      <c r="B53" s="3" t="s">
        <v>1162</v>
      </c>
      <c r="C53" s="3" t="s">
        <v>116</v>
      </c>
      <c r="D53" s="3" t="s">
        <v>1163</v>
      </c>
      <c r="E53" s="3" t="s">
        <v>1164</v>
      </c>
      <c r="F53" s="3" t="s">
        <v>1165</v>
      </c>
    </row>
    <row r="54" customFormat="false" ht="60" hidden="false" customHeight="true" outlineLevel="0" collapsed="false">
      <c r="A54" s="3" t="n">
        <v>7</v>
      </c>
      <c r="B54" s="3" t="s">
        <v>1166</v>
      </c>
      <c r="C54" s="3" t="s">
        <v>116</v>
      </c>
      <c r="D54" s="3" t="s">
        <v>1167</v>
      </c>
      <c r="E54" s="3" t="s">
        <v>1168</v>
      </c>
      <c r="F54" s="3" t="s">
        <v>1037</v>
      </c>
    </row>
    <row r="56" customFormat="false" ht="21.75" hidden="false" customHeight="true" outlineLevel="0" collapsed="false">
      <c r="A56" s="2" t="s">
        <v>1169</v>
      </c>
      <c r="B56" s="2"/>
      <c r="C56" s="2"/>
      <c r="D56" s="2"/>
      <c r="E56" s="2"/>
      <c r="F56" s="2"/>
    </row>
    <row r="57" customFormat="false" ht="31.5" hidden="false" customHeight="true" outlineLevel="0" collapsed="false">
      <c r="A57" s="5" t="s">
        <v>525</v>
      </c>
      <c r="B57" s="5" t="s">
        <v>1028</v>
      </c>
      <c r="C57" s="5" t="s">
        <v>1029</v>
      </c>
      <c r="D57" s="5" t="s">
        <v>1030</v>
      </c>
      <c r="E57" s="5" t="s">
        <v>1031</v>
      </c>
      <c r="F57" s="5" t="s">
        <v>1032</v>
      </c>
    </row>
    <row r="58" customFormat="false" ht="60" hidden="false" customHeight="true" outlineLevel="0" collapsed="false">
      <c r="A58" s="3" t="n">
        <v>1</v>
      </c>
      <c r="B58" s="3" t="s">
        <v>1170</v>
      </c>
      <c r="C58" s="3" t="s">
        <v>116</v>
      </c>
      <c r="D58" s="3" t="s">
        <v>1171</v>
      </c>
      <c r="E58" s="3" t="s">
        <v>1172</v>
      </c>
      <c r="F58" s="3" t="s">
        <v>1037</v>
      </c>
    </row>
    <row r="59" customFormat="false" ht="60" hidden="false" customHeight="true" outlineLevel="0" collapsed="false">
      <c r="A59" s="3" t="n">
        <v>2</v>
      </c>
      <c r="B59" s="3" t="s">
        <v>1173</v>
      </c>
      <c r="C59" s="3" t="s">
        <v>1174</v>
      </c>
      <c r="D59" s="3" t="s">
        <v>1175</v>
      </c>
      <c r="E59" s="3" t="s">
        <v>1176</v>
      </c>
      <c r="F59" s="3" t="s">
        <v>1037</v>
      </c>
    </row>
    <row r="60" customFormat="false" ht="60" hidden="false" customHeight="true" outlineLevel="0" collapsed="false">
      <c r="A60" s="3" t="n">
        <v>3</v>
      </c>
      <c r="B60" s="3" t="s">
        <v>1008</v>
      </c>
      <c r="C60" s="3" t="s">
        <v>1177</v>
      </c>
      <c r="D60" s="3" t="s">
        <v>1178</v>
      </c>
      <c r="E60" s="3" t="s">
        <v>1179</v>
      </c>
      <c r="F60" s="3" t="s">
        <v>1180</v>
      </c>
    </row>
    <row r="61" customFormat="false" ht="60" hidden="false" customHeight="true" outlineLevel="0" collapsed="false">
      <c r="A61" s="3" t="n">
        <v>4</v>
      </c>
      <c r="B61" s="3" t="s">
        <v>1181</v>
      </c>
      <c r="C61" s="3" t="s">
        <v>116</v>
      </c>
      <c r="D61" s="3" t="s">
        <v>1182</v>
      </c>
      <c r="E61" s="3" t="s">
        <v>1183</v>
      </c>
      <c r="F61" s="3" t="s">
        <v>1037</v>
      </c>
    </row>
    <row r="62" customFormat="false" ht="60" hidden="false" customHeight="true" outlineLevel="0" collapsed="false">
      <c r="A62" s="3" t="n">
        <v>5</v>
      </c>
      <c r="B62" s="3" t="s">
        <v>1184</v>
      </c>
      <c r="C62" s="3" t="s">
        <v>1185</v>
      </c>
      <c r="D62" s="3" t="s">
        <v>1186</v>
      </c>
      <c r="E62" s="3" t="s">
        <v>1187</v>
      </c>
      <c r="F62" s="3" t="s">
        <v>1188</v>
      </c>
    </row>
    <row r="63" customFormat="false" ht="60" hidden="false" customHeight="true" outlineLevel="0" collapsed="false">
      <c r="A63" s="3" t="n">
        <v>6</v>
      </c>
      <c r="B63" s="3" t="s">
        <v>1189</v>
      </c>
      <c r="C63" s="3" t="s">
        <v>116</v>
      </c>
      <c r="D63" s="3" t="s">
        <v>1190</v>
      </c>
      <c r="E63" s="3" t="s">
        <v>1191</v>
      </c>
      <c r="F63" s="3" t="s">
        <v>1037</v>
      </c>
    </row>
    <row r="65" customFormat="false" ht="21.75" hidden="false" customHeight="true" outlineLevel="0" collapsed="false">
      <c r="A65" s="2" t="s">
        <v>1192</v>
      </c>
      <c r="B65" s="2"/>
      <c r="C65" s="2"/>
      <c r="D65" s="2"/>
      <c r="E65" s="2"/>
      <c r="F65" s="2"/>
    </row>
    <row r="66" customFormat="false" ht="31.5" hidden="false" customHeight="true" outlineLevel="0" collapsed="false">
      <c r="A66" s="5" t="s">
        <v>525</v>
      </c>
      <c r="B66" s="5" t="s">
        <v>1193</v>
      </c>
      <c r="C66" s="5" t="s">
        <v>1194</v>
      </c>
      <c r="D66" s="5" t="s">
        <v>1030</v>
      </c>
      <c r="E66" s="5" t="s">
        <v>1195</v>
      </c>
      <c r="F66" s="5" t="s">
        <v>590</v>
      </c>
    </row>
    <row r="67" customFormat="false" ht="60" hidden="false" customHeight="true" outlineLevel="0" collapsed="false">
      <c r="A67" s="3" t="n">
        <v>1</v>
      </c>
      <c r="B67" s="3" t="s">
        <v>1196</v>
      </c>
      <c r="C67" s="3" t="s">
        <v>1197</v>
      </c>
      <c r="D67" s="3" t="s">
        <v>1198</v>
      </c>
      <c r="E67" s="3" t="s">
        <v>1199</v>
      </c>
      <c r="F67" s="3" t="s">
        <v>1114</v>
      </c>
    </row>
    <row r="68" customFormat="false" ht="60" hidden="false" customHeight="true" outlineLevel="0" collapsed="false">
      <c r="A68" s="3" t="n">
        <v>2</v>
      </c>
      <c r="B68" s="3" t="s">
        <v>1200</v>
      </c>
      <c r="C68" s="3" t="s">
        <v>1201</v>
      </c>
      <c r="D68" s="3" t="s">
        <v>1060</v>
      </c>
      <c r="E68" s="3" t="s">
        <v>1202</v>
      </c>
      <c r="F68" s="3" t="s">
        <v>1118</v>
      </c>
    </row>
    <row r="69" customFormat="false" ht="60" hidden="false" customHeight="true" outlineLevel="0" collapsed="false">
      <c r="A69" s="3" t="n">
        <v>3</v>
      </c>
      <c r="B69" s="3" t="s">
        <v>1203</v>
      </c>
      <c r="C69" s="3" t="s">
        <v>116</v>
      </c>
      <c r="D69" s="3" t="s">
        <v>1204</v>
      </c>
      <c r="E69" s="3" t="s">
        <v>1205</v>
      </c>
      <c r="F69" s="3" t="s">
        <v>1118</v>
      </c>
    </row>
    <row r="70" customFormat="false" ht="60" hidden="false" customHeight="true" outlineLevel="0" collapsed="false">
      <c r="A70" s="3" t="n">
        <v>4</v>
      </c>
      <c r="B70" s="3" t="s">
        <v>1206</v>
      </c>
      <c r="C70" s="3" t="s">
        <v>116</v>
      </c>
      <c r="D70" s="3" t="s">
        <v>1207</v>
      </c>
      <c r="E70" s="3" t="s">
        <v>1208</v>
      </c>
      <c r="F70" s="3" t="s">
        <v>1209</v>
      </c>
    </row>
    <row r="71" customFormat="false" ht="60" hidden="false" customHeight="true" outlineLevel="0" collapsed="false">
      <c r="A71" s="3" t="n">
        <v>5</v>
      </c>
      <c r="B71" s="3" t="s">
        <v>1210</v>
      </c>
      <c r="C71" s="3" t="s">
        <v>116</v>
      </c>
      <c r="D71" s="3" t="s">
        <v>1211</v>
      </c>
      <c r="E71" s="3" t="s">
        <v>1212</v>
      </c>
      <c r="F71" s="3" t="s">
        <v>1213</v>
      </c>
    </row>
    <row r="73" customFormat="false" ht="21.75" hidden="false" customHeight="true" outlineLevel="0" collapsed="false">
      <c r="A73" s="2" t="s">
        <v>1214</v>
      </c>
      <c r="B73" s="2"/>
      <c r="C73" s="2"/>
      <c r="D73" s="2"/>
      <c r="E73" s="2"/>
      <c r="F73" s="2"/>
    </row>
    <row r="74" customFormat="false" ht="15" hidden="false" customHeight="true" outlineLevel="0" collapsed="false">
      <c r="A74" s="25" t="s">
        <v>1215</v>
      </c>
      <c r="B74" s="25"/>
      <c r="C74" s="25"/>
      <c r="D74" s="25"/>
      <c r="E74" s="25"/>
      <c r="F74" s="25"/>
    </row>
    <row r="75" customFormat="false" ht="15" hidden="false" customHeight="false" outlineLevel="0" collapsed="false">
      <c r="A75" s="25"/>
      <c r="B75" s="25"/>
      <c r="C75" s="25"/>
      <c r="D75" s="25"/>
      <c r="E75" s="25"/>
      <c r="F75" s="25"/>
    </row>
    <row r="76" customFormat="false" ht="15" hidden="false" customHeight="false" outlineLevel="0" collapsed="false">
      <c r="A76" s="25"/>
      <c r="B76" s="25"/>
      <c r="C76" s="25"/>
      <c r="D76" s="25"/>
      <c r="E76" s="25"/>
      <c r="F76" s="25"/>
    </row>
    <row r="77" customFormat="false" ht="15" hidden="false" customHeight="false" outlineLevel="0" collapsed="false">
      <c r="A77" s="25"/>
      <c r="B77" s="25"/>
      <c r="C77" s="25"/>
      <c r="D77" s="25"/>
      <c r="E77" s="25"/>
      <c r="F77" s="25"/>
    </row>
    <row r="78" customFormat="false" ht="15" hidden="false" customHeight="false" outlineLevel="0" collapsed="false">
      <c r="A78" s="25"/>
      <c r="B78" s="25"/>
      <c r="C78" s="25"/>
      <c r="D78" s="25"/>
      <c r="E78" s="25"/>
      <c r="F78" s="25"/>
    </row>
    <row r="79" customFormat="false" ht="15" hidden="false" customHeight="false" outlineLevel="0" collapsed="false">
      <c r="A79" s="25"/>
      <c r="B79" s="25"/>
      <c r="C79" s="25"/>
      <c r="D79" s="25"/>
      <c r="E79" s="25"/>
      <c r="F79" s="25"/>
    </row>
    <row r="80" customFormat="false" ht="15" hidden="false" customHeight="false" outlineLevel="0" collapsed="false">
      <c r="A80" s="25"/>
      <c r="B80" s="25"/>
      <c r="C80" s="25"/>
      <c r="D80" s="25"/>
      <c r="E80" s="25"/>
      <c r="F80" s="25"/>
    </row>
    <row r="81" customFormat="false" ht="15" hidden="false" customHeight="false" outlineLevel="0" collapsed="false">
      <c r="A81" s="25"/>
      <c r="B81" s="25"/>
      <c r="C81" s="25"/>
      <c r="D81" s="25"/>
      <c r="E81" s="25"/>
      <c r="F81" s="25"/>
    </row>
    <row r="82" customFormat="false" ht="15" hidden="false" customHeight="false" outlineLevel="0" collapsed="false">
      <c r="A82" s="25"/>
      <c r="B82" s="25"/>
      <c r="C82" s="25"/>
      <c r="D82" s="25"/>
      <c r="E82" s="25"/>
      <c r="F82" s="25"/>
    </row>
  </sheetData>
  <mergeCells count="11">
    <mergeCell ref="A1:F1"/>
    <mergeCell ref="A3:F3"/>
    <mergeCell ref="A11:F11"/>
    <mergeCell ref="A21:F21"/>
    <mergeCell ref="A28:F28"/>
    <mergeCell ref="A37:F37"/>
    <mergeCell ref="A46:F46"/>
    <mergeCell ref="A56:F56"/>
    <mergeCell ref="A65:F65"/>
    <mergeCell ref="A73:F73"/>
    <mergeCell ref="A74:F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8" min="2" style="0" width="22"/>
  </cols>
  <sheetData>
    <row r="1" customFormat="false" ht="31.5" hidden="false" customHeight="true" outlineLevel="0" collapsed="false">
      <c r="A1" s="1" t="s">
        <v>1216</v>
      </c>
      <c r="B1" s="1"/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A3" s="2" t="s">
        <v>1217</v>
      </c>
      <c r="B3" s="2"/>
      <c r="C3" s="2"/>
      <c r="D3" s="2"/>
      <c r="E3" s="2"/>
      <c r="F3" s="2"/>
      <c r="G3" s="2"/>
      <c r="H3" s="2"/>
    </row>
    <row r="4" customFormat="false" ht="63.75" hidden="false" customHeight="true" outlineLevel="0" collapsed="false">
      <c r="A4" s="38" t="s">
        <v>1218</v>
      </c>
      <c r="B4" s="38"/>
      <c r="C4" s="38"/>
      <c r="D4" s="38"/>
      <c r="E4" s="38"/>
      <c r="F4" s="38"/>
      <c r="G4" s="38"/>
      <c r="H4" s="38"/>
    </row>
    <row r="6" customFormat="false" ht="31.5" hidden="false" customHeight="true" outlineLevel="0" collapsed="false">
      <c r="A6" s="5" t="s">
        <v>1219</v>
      </c>
      <c r="B6" s="5" t="s">
        <v>585</v>
      </c>
      <c r="C6" s="5" t="s">
        <v>1220</v>
      </c>
      <c r="D6" s="5" t="s">
        <v>1221</v>
      </c>
      <c r="E6" s="5" t="s">
        <v>1222</v>
      </c>
      <c r="F6" s="5" t="s">
        <v>1223</v>
      </c>
      <c r="G6" s="5" t="s">
        <v>1224</v>
      </c>
      <c r="H6" s="5" t="s">
        <v>1225</v>
      </c>
    </row>
    <row r="7" customFormat="false" ht="75" hidden="false" customHeight="true" outlineLevel="0" collapsed="false">
      <c r="A7" s="39" t="n">
        <v>2026</v>
      </c>
      <c r="B7" s="39" t="s">
        <v>1226</v>
      </c>
      <c r="C7" s="39" t="s">
        <v>1227</v>
      </c>
      <c r="D7" s="39" t="s">
        <v>1228</v>
      </c>
      <c r="E7" s="39" t="s">
        <v>1229</v>
      </c>
      <c r="F7" s="39" t="s">
        <v>1230</v>
      </c>
      <c r="G7" s="39" t="s">
        <v>1230</v>
      </c>
      <c r="H7" s="39" t="s">
        <v>1231</v>
      </c>
    </row>
    <row r="8" customFormat="false" ht="75" hidden="false" customHeight="true" outlineLevel="0" collapsed="false">
      <c r="A8" s="3" t="n">
        <v>2027</v>
      </c>
      <c r="B8" s="3" t="s">
        <v>1232</v>
      </c>
      <c r="C8" s="3" t="s">
        <v>1233</v>
      </c>
      <c r="D8" s="3" t="s">
        <v>1234</v>
      </c>
      <c r="E8" s="3" t="s">
        <v>1234</v>
      </c>
      <c r="F8" s="3" t="s">
        <v>1235</v>
      </c>
      <c r="G8" s="3" t="s">
        <v>1236</v>
      </c>
      <c r="H8" s="3" t="s">
        <v>1237</v>
      </c>
    </row>
    <row r="9" customFormat="false" ht="75" hidden="false" customHeight="true" outlineLevel="0" collapsed="false">
      <c r="A9" s="3" t="n">
        <v>2028</v>
      </c>
      <c r="B9" s="3" t="s">
        <v>1238</v>
      </c>
      <c r="C9" s="3" t="s">
        <v>1239</v>
      </c>
      <c r="D9" s="3" t="s">
        <v>1234</v>
      </c>
      <c r="E9" s="3" t="s">
        <v>1234</v>
      </c>
      <c r="F9" s="3" t="s">
        <v>1240</v>
      </c>
      <c r="G9" s="3" t="s">
        <v>1241</v>
      </c>
      <c r="H9" s="3" t="s">
        <v>1242</v>
      </c>
    </row>
    <row r="10" customFormat="false" ht="75" hidden="false" customHeight="true" outlineLevel="0" collapsed="false">
      <c r="A10" s="3" t="n">
        <v>2029</v>
      </c>
      <c r="B10" s="3" t="s">
        <v>1243</v>
      </c>
      <c r="C10" s="3" t="s">
        <v>1244</v>
      </c>
      <c r="D10" s="3" t="s">
        <v>1245</v>
      </c>
      <c r="E10" s="3" t="s">
        <v>116</v>
      </c>
      <c r="F10" s="3" t="s">
        <v>116</v>
      </c>
      <c r="G10" s="3" t="s">
        <v>1246</v>
      </c>
      <c r="H10" s="3" t="s">
        <v>1247</v>
      </c>
    </row>
    <row r="11" customFormat="false" ht="75" hidden="false" customHeight="true" outlineLevel="0" collapsed="false">
      <c r="A11" s="3" t="n">
        <v>2030</v>
      </c>
      <c r="B11" s="3" t="s">
        <v>1248</v>
      </c>
      <c r="C11" s="3" t="s">
        <v>1244</v>
      </c>
      <c r="D11" s="3" t="s">
        <v>1249</v>
      </c>
      <c r="E11" s="3" t="s">
        <v>116</v>
      </c>
      <c r="F11" s="3" t="s">
        <v>116</v>
      </c>
      <c r="G11" s="3" t="s">
        <v>1250</v>
      </c>
      <c r="H11" s="3" t="s">
        <v>1247</v>
      </c>
    </row>
    <row r="12" customFormat="false" ht="75" hidden="false" customHeight="true" outlineLevel="0" collapsed="false">
      <c r="A12" s="3" t="n">
        <v>2031</v>
      </c>
      <c r="B12" s="3" t="s">
        <v>1248</v>
      </c>
      <c r="C12" s="3" t="s">
        <v>1244</v>
      </c>
      <c r="D12" s="3" t="s">
        <v>1251</v>
      </c>
      <c r="E12" s="3" t="s">
        <v>116</v>
      </c>
      <c r="F12" s="3" t="s">
        <v>116</v>
      </c>
      <c r="G12" s="3" t="s">
        <v>1252</v>
      </c>
      <c r="H12" s="3" t="s">
        <v>1247</v>
      </c>
    </row>
    <row r="13" customFormat="false" ht="75" hidden="false" customHeight="true" outlineLevel="0" collapsed="false">
      <c r="A13" s="3" t="n">
        <v>2032</v>
      </c>
      <c r="B13" s="3" t="s">
        <v>1253</v>
      </c>
      <c r="C13" s="3" t="s">
        <v>1244</v>
      </c>
      <c r="D13" s="3" t="s">
        <v>1254</v>
      </c>
      <c r="E13" s="3" t="s">
        <v>116</v>
      </c>
      <c r="F13" s="3" t="s">
        <v>116</v>
      </c>
      <c r="G13" s="3" t="s">
        <v>1255</v>
      </c>
      <c r="H13" s="3" t="s">
        <v>1247</v>
      </c>
    </row>
    <row r="14" customFormat="false" ht="75" hidden="false" customHeight="true" outlineLevel="0" collapsed="false">
      <c r="A14" s="32" t="n">
        <v>2033</v>
      </c>
      <c r="B14" s="32" t="s">
        <v>1256</v>
      </c>
      <c r="C14" s="32" t="s">
        <v>1244</v>
      </c>
      <c r="D14" s="32" t="s">
        <v>1257</v>
      </c>
      <c r="E14" s="32" t="s">
        <v>1244</v>
      </c>
      <c r="F14" s="32" t="s">
        <v>116</v>
      </c>
      <c r="G14" s="32" t="s">
        <v>1258</v>
      </c>
      <c r="H14" s="32" t="s">
        <v>1259</v>
      </c>
    </row>
    <row r="16" customFormat="false" ht="63.75" hidden="false" customHeight="true" outlineLevel="0" collapsed="false">
      <c r="A16" s="38" t="s">
        <v>1260</v>
      </c>
      <c r="B16" s="38"/>
      <c r="C16" s="38"/>
      <c r="D16" s="38"/>
      <c r="E16" s="38"/>
      <c r="F16" s="38"/>
      <c r="G16" s="38"/>
      <c r="H16" s="38"/>
    </row>
    <row r="19" customFormat="false" ht="21.75" hidden="false" customHeight="true" outlineLevel="0" collapsed="false">
      <c r="A19" s="2" t="s">
        <v>1261</v>
      </c>
      <c r="B19" s="2"/>
      <c r="C19" s="2"/>
      <c r="D19" s="2"/>
      <c r="E19" s="2"/>
      <c r="F19" s="2"/>
      <c r="G19" s="2"/>
      <c r="H19" s="2"/>
    </row>
    <row r="21" customFormat="false" ht="63.75" hidden="false" customHeight="true" outlineLevel="0" collapsed="false">
      <c r="A21" s="25" t="s">
        <v>1262</v>
      </c>
      <c r="B21" s="25"/>
      <c r="C21" s="25"/>
      <c r="D21" s="25"/>
      <c r="E21" s="25"/>
      <c r="F21" s="25"/>
      <c r="G21" s="25"/>
      <c r="H21" s="25"/>
    </row>
    <row r="23" customFormat="false" ht="31.5" hidden="false" customHeight="true" outlineLevel="0" collapsed="false">
      <c r="A23" s="5" t="s">
        <v>842</v>
      </c>
      <c r="B23" s="5" t="s">
        <v>1029</v>
      </c>
      <c r="C23" s="5" t="s">
        <v>1263</v>
      </c>
      <c r="D23" s="5" t="s">
        <v>1264</v>
      </c>
      <c r="E23" s="5" t="s">
        <v>1265</v>
      </c>
      <c r="F23" s="5"/>
      <c r="G23" s="5"/>
      <c r="H23" s="5"/>
    </row>
    <row r="24" customFormat="false" ht="99.75" hidden="false" customHeight="true" outlineLevel="0" collapsed="false">
      <c r="A24" s="3" t="s">
        <v>1266</v>
      </c>
      <c r="B24" s="3" t="s">
        <v>1148</v>
      </c>
      <c r="C24" s="3" t="s">
        <v>1267</v>
      </c>
      <c r="D24" s="3" t="s">
        <v>1268</v>
      </c>
      <c r="E24" s="3" t="s">
        <v>1269</v>
      </c>
    </row>
    <row r="25" customFormat="false" ht="99.75" hidden="false" customHeight="true" outlineLevel="0" collapsed="false">
      <c r="A25" s="3" t="s">
        <v>1270</v>
      </c>
      <c r="B25" s="3" t="s">
        <v>1148</v>
      </c>
      <c r="C25" s="3" t="s">
        <v>1271</v>
      </c>
      <c r="D25" s="3" t="s">
        <v>1272</v>
      </c>
      <c r="E25" s="3" t="s">
        <v>1273</v>
      </c>
    </row>
    <row r="26" customFormat="false" ht="99.75" hidden="false" customHeight="true" outlineLevel="0" collapsed="false">
      <c r="A26" s="3" t="s">
        <v>1274</v>
      </c>
      <c r="B26" s="3" t="s">
        <v>1148</v>
      </c>
      <c r="C26" s="3" t="s">
        <v>1275</v>
      </c>
      <c r="D26" s="3" t="s">
        <v>1276</v>
      </c>
      <c r="E26" s="3" t="s">
        <v>1277</v>
      </c>
    </row>
    <row r="27" customFormat="false" ht="99.75" hidden="false" customHeight="true" outlineLevel="0" collapsed="false">
      <c r="A27" s="3" t="s">
        <v>1278</v>
      </c>
      <c r="B27" s="3" t="s">
        <v>1148</v>
      </c>
      <c r="C27" s="3" t="s">
        <v>1279</v>
      </c>
      <c r="D27" s="3" t="s">
        <v>1280</v>
      </c>
      <c r="E27" s="3" t="s">
        <v>1281</v>
      </c>
    </row>
    <row r="28" customFormat="false" ht="99.75" hidden="false" customHeight="true" outlineLevel="0" collapsed="false">
      <c r="A28" s="3" t="s">
        <v>1282</v>
      </c>
      <c r="B28" s="3" t="s">
        <v>1148</v>
      </c>
      <c r="C28" s="3" t="s">
        <v>1283</v>
      </c>
      <c r="D28" s="3" t="s">
        <v>1284</v>
      </c>
      <c r="E28" s="3" t="s">
        <v>1285</v>
      </c>
    </row>
    <row r="29" customFormat="false" ht="99.75" hidden="false" customHeight="true" outlineLevel="0" collapsed="false">
      <c r="A29" s="3" t="s">
        <v>1286</v>
      </c>
      <c r="B29" s="3" t="s">
        <v>1148</v>
      </c>
      <c r="C29" s="3" t="s">
        <v>1287</v>
      </c>
      <c r="D29" s="3" t="s">
        <v>1288</v>
      </c>
      <c r="E29" s="3" t="s">
        <v>1289</v>
      </c>
    </row>
    <row r="30" customFormat="false" ht="99.75" hidden="false" customHeight="true" outlineLevel="0" collapsed="false">
      <c r="A30" s="3" t="s">
        <v>1290</v>
      </c>
      <c r="B30" s="3" t="s">
        <v>1148</v>
      </c>
      <c r="C30" s="3" t="s">
        <v>1291</v>
      </c>
      <c r="D30" s="3" t="s">
        <v>1292</v>
      </c>
      <c r="E30" s="3" t="s">
        <v>1293</v>
      </c>
    </row>
    <row r="31" customFormat="false" ht="99.75" hidden="false" customHeight="true" outlineLevel="0" collapsed="false">
      <c r="A31" s="3" t="s">
        <v>1294</v>
      </c>
      <c r="B31" s="3" t="s">
        <v>1148</v>
      </c>
      <c r="C31" s="3" t="s">
        <v>1295</v>
      </c>
      <c r="D31" s="3" t="s">
        <v>1296</v>
      </c>
      <c r="E31" s="3" t="s">
        <v>1297</v>
      </c>
    </row>
    <row r="32" customFormat="false" ht="99.75" hidden="false" customHeight="true" outlineLevel="0" collapsed="false">
      <c r="A32" s="3" t="s">
        <v>1298</v>
      </c>
      <c r="B32" s="3" t="s">
        <v>1148</v>
      </c>
      <c r="C32" s="3" t="s">
        <v>1299</v>
      </c>
      <c r="D32" s="3" t="s">
        <v>1300</v>
      </c>
      <c r="E32" s="3" t="s">
        <v>1301</v>
      </c>
    </row>
    <row r="34" customFormat="false" ht="109.5" hidden="false" customHeight="true" outlineLevel="0" collapsed="false">
      <c r="A34" s="25" t="s">
        <v>1302</v>
      </c>
      <c r="B34" s="25"/>
      <c r="C34" s="25"/>
      <c r="D34" s="25"/>
      <c r="E34" s="25"/>
      <c r="F34" s="25"/>
      <c r="G34" s="25"/>
      <c r="H34" s="25"/>
    </row>
    <row r="37" customFormat="false" ht="21.75" hidden="false" customHeight="true" outlineLevel="0" collapsed="false">
      <c r="A37" s="2" t="s">
        <v>1303</v>
      </c>
      <c r="B37" s="2"/>
      <c r="C37" s="2"/>
      <c r="D37" s="2"/>
      <c r="E37" s="2"/>
      <c r="F37" s="2"/>
      <c r="G37" s="2"/>
      <c r="H37" s="2"/>
    </row>
    <row r="39" customFormat="false" ht="79.5" hidden="false" customHeight="true" outlineLevel="0" collapsed="false">
      <c r="A39" s="25" t="s">
        <v>1304</v>
      </c>
      <c r="B39" s="25"/>
      <c r="C39" s="25"/>
      <c r="D39" s="25"/>
      <c r="E39" s="25"/>
      <c r="F39" s="25"/>
      <c r="G39" s="25"/>
      <c r="H39" s="25"/>
    </row>
    <row r="41" customFormat="false" ht="31.5" hidden="false" customHeight="true" outlineLevel="0" collapsed="false">
      <c r="A41" s="5" t="s">
        <v>842</v>
      </c>
      <c r="B41" s="5" t="s">
        <v>1305</v>
      </c>
      <c r="C41" s="5" t="s">
        <v>1306</v>
      </c>
      <c r="D41" s="5" t="s">
        <v>1307</v>
      </c>
      <c r="E41" s="5" t="s">
        <v>1308</v>
      </c>
      <c r="F41" s="5"/>
      <c r="G41" s="5"/>
      <c r="H41" s="5"/>
    </row>
    <row r="42" customFormat="false" ht="94.5" hidden="false" customHeight="true" outlineLevel="0" collapsed="false">
      <c r="A42" s="3" t="s">
        <v>1309</v>
      </c>
      <c r="B42" s="3" t="s">
        <v>1310</v>
      </c>
      <c r="C42" s="3" t="s">
        <v>1311</v>
      </c>
      <c r="D42" s="3" t="s">
        <v>1312</v>
      </c>
      <c r="E42" s="3" t="s">
        <v>1313</v>
      </c>
    </row>
    <row r="43" customFormat="false" ht="94.5" hidden="false" customHeight="true" outlineLevel="0" collapsed="false">
      <c r="A43" s="3" t="s">
        <v>1314</v>
      </c>
      <c r="B43" s="3" t="s">
        <v>1315</v>
      </c>
      <c r="C43" s="3" t="s">
        <v>1316</v>
      </c>
      <c r="D43" s="3" t="s">
        <v>1317</v>
      </c>
      <c r="E43" s="3" t="s">
        <v>1318</v>
      </c>
    </row>
    <row r="44" customFormat="false" ht="94.5" hidden="false" customHeight="true" outlineLevel="0" collapsed="false">
      <c r="A44" s="3" t="s">
        <v>1319</v>
      </c>
      <c r="B44" s="3" t="s">
        <v>1320</v>
      </c>
      <c r="C44" s="3" t="s">
        <v>1321</v>
      </c>
      <c r="D44" s="3" t="s">
        <v>1322</v>
      </c>
      <c r="E44" s="3" t="s">
        <v>1323</v>
      </c>
    </row>
    <row r="45" customFormat="false" ht="94.5" hidden="false" customHeight="true" outlineLevel="0" collapsed="false">
      <c r="A45" s="3" t="s">
        <v>1324</v>
      </c>
      <c r="B45" s="3" t="s">
        <v>1325</v>
      </c>
      <c r="C45" s="3" t="s">
        <v>1326</v>
      </c>
      <c r="D45" s="3" t="s">
        <v>1327</v>
      </c>
      <c r="E45" s="3" t="s">
        <v>1328</v>
      </c>
    </row>
    <row r="46" customFormat="false" ht="94.5" hidden="false" customHeight="true" outlineLevel="0" collapsed="false">
      <c r="A46" s="3" t="s">
        <v>1329</v>
      </c>
      <c r="B46" s="3" t="s">
        <v>1330</v>
      </c>
      <c r="C46" s="3" t="s">
        <v>1331</v>
      </c>
      <c r="D46" s="3" t="s">
        <v>1332</v>
      </c>
      <c r="E46" s="3" t="s">
        <v>1333</v>
      </c>
    </row>
    <row r="47" customFormat="false" ht="94.5" hidden="false" customHeight="true" outlineLevel="0" collapsed="false">
      <c r="A47" s="3" t="s">
        <v>1334</v>
      </c>
      <c r="B47" s="3" t="s">
        <v>1335</v>
      </c>
      <c r="C47" s="3" t="s">
        <v>1336</v>
      </c>
      <c r="D47" s="3" t="s">
        <v>1337</v>
      </c>
      <c r="E47" s="3" t="s">
        <v>1338</v>
      </c>
    </row>
    <row r="48" customFormat="false" ht="94.5" hidden="false" customHeight="true" outlineLevel="0" collapsed="false">
      <c r="A48" s="3" t="s">
        <v>1339</v>
      </c>
      <c r="B48" s="3" t="s">
        <v>1340</v>
      </c>
      <c r="C48" s="3" t="s">
        <v>1341</v>
      </c>
      <c r="D48" s="3" t="s">
        <v>1342</v>
      </c>
      <c r="E48" s="3" t="s">
        <v>1343</v>
      </c>
    </row>
    <row r="49" customFormat="false" ht="94.5" hidden="false" customHeight="true" outlineLevel="0" collapsed="false">
      <c r="A49" s="3" t="s">
        <v>1344</v>
      </c>
      <c r="B49" s="3" t="s">
        <v>1345</v>
      </c>
      <c r="C49" s="3" t="s">
        <v>1346</v>
      </c>
      <c r="D49" s="3" t="s">
        <v>1347</v>
      </c>
      <c r="E49" s="3" t="s">
        <v>1348</v>
      </c>
    </row>
    <row r="50" customFormat="false" ht="94.5" hidden="false" customHeight="true" outlineLevel="0" collapsed="false">
      <c r="A50" s="3" t="s">
        <v>1349</v>
      </c>
      <c r="B50" s="3" t="s">
        <v>1350</v>
      </c>
      <c r="C50" s="3" t="s">
        <v>1351</v>
      </c>
      <c r="D50" s="3" t="s">
        <v>1352</v>
      </c>
      <c r="E50" s="3" t="s">
        <v>1353</v>
      </c>
    </row>
    <row r="53" customFormat="false" ht="21.75" hidden="false" customHeight="true" outlineLevel="0" collapsed="false">
      <c r="A53" s="2" t="s">
        <v>1354</v>
      </c>
      <c r="B53" s="2"/>
      <c r="C53" s="2"/>
      <c r="D53" s="2"/>
      <c r="E53" s="2"/>
      <c r="F53" s="2"/>
      <c r="G53" s="2"/>
      <c r="H53" s="2"/>
    </row>
    <row r="55" customFormat="false" ht="79.5" hidden="false" customHeight="true" outlineLevel="0" collapsed="false">
      <c r="A55" s="25" t="s">
        <v>1355</v>
      </c>
      <c r="B55" s="25"/>
      <c r="C55" s="25"/>
      <c r="D55" s="25"/>
      <c r="E55" s="25"/>
      <c r="F55" s="25"/>
      <c r="G55" s="25"/>
      <c r="H55" s="25"/>
    </row>
    <row r="57" customFormat="false" ht="15" hidden="false" customHeight="false" outlineLevel="0" collapsed="false">
      <c r="A57" s="6" t="s">
        <v>1356</v>
      </c>
      <c r="B57" s="6"/>
      <c r="C57" s="6"/>
      <c r="D57" s="6"/>
      <c r="E57" s="6"/>
      <c r="F57" s="6"/>
      <c r="G57" s="6"/>
      <c r="H57" s="6"/>
    </row>
    <row r="58" customFormat="false" ht="31.5" hidden="false" customHeight="true" outlineLevel="0" collapsed="false">
      <c r="A58" s="5" t="s">
        <v>1357</v>
      </c>
      <c r="B58" s="5" t="s">
        <v>1358</v>
      </c>
      <c r="C58" s="5" t="s">
        <v>1359</v>
      </c>
      <c r="D58" s="5" t="s">
        <v>1360</v>
      </c>
      <c r="E58" s="5"/>
      <c r="F58" s="5"/>
      <c r="G58" s="5"/>
      <c r="H58" s="5"/>
    </row>
    <row r="59" customFormat="false" ht="60" hidden="false" customHeight="true" outlineLevel="0" collapsed="false">
      <c r="A59" s="3" t="s">
        <v>1361</v>
      </c>
      <c r="B59" s="3" t="s">
        <v>1362</v>
      </c>
      <c r="C59" s="3" t="s">
        <v>1363</v>
      </c>
      <c r="D59" s="3" t="s">
        <v>1364</v>
      </c>
    </row>
    <row r="60" customFormat="false" ht="60" hidden="false" customHeight="true" outlineLevel="0" collapsed="false">
      <c r="A60" s="3" t="s">
        <v>1365</v>
      </c>
      <c r="B60" s="3" t="s">
        <v>1366</v>
      </c>
      <c r="C60" s="3" t="s">
        <v>1367</v>
      </c>
      <c r="D60" s="3" t="s">
        <v>1368</v>
      </c>
    </row>
    <row r="61" customFormat="false" ht="60" hidden="false" customHeight="true" outlineLevel="0" collapsed="false">
      <c r="A61" s="3" t="s">
        <v>1369</v>
      </c>
      <c r="B61" s="3" t="s">
        <v>1370</v>
      </c>
      <c r="C61" s="3" t="s">
        <v>1371</v>
      </c>
      <c r="D61" s="3" t="s">
        <v>1372</v>
      </c>
    </row>
    <row r="62" customFormat="false" ht="60" hidden="false" customHeight="true" outlineLevel="0" collapsed="false">
      <c r="A62" s="3" t="s">
        <v>1373</v>
      </c>
      <c r="B62" s="3" t="s">
        <v>1374</v>
      </c>
      <c r="C62" s="3" t="s">
        <v>1375</v>
      </c>
      <c r="D62" s="3" t="s">
        <v>1376</v>
      </c>
    </row>
    <row r="63" customFormat="false" ht="60" hidden="false" customHeight="true" outlineLevel="0" collapsed="false">
      <c r="A63" s="3" t="s">
        <v>1377</v>
      </c>
      <c r="B63" s="3" t="s">
        <v>1378</v>
      </c>
      <c r="C63" s="3" t="s">
        <v>1379</v>
      </c>
      <c r="D63" s="3" t="s">
        <v>1380</v>
      </c>
    </row>
    <row r="64" customFormat="false" ht="60" hidden="false" customHeight="true" outlineLevel="0" collapsed="false">
      <c r="A64" s="3" t="s">
        <v>1381</v>
      </c>
      <c r="B64" s="3" t="s">
        <v>1382</v>
      </c>
      <c r="C64" s="3" t="s">
        <v>1383</v>
      </c>
      <c r="D64" s="3" t="s">
        <v>1384</v>
      </c>
    </row>
    <row r="65" customFormat="false" ht="60" hidden="false" customHeight="true" outlineLevel="0" collapsed="false">
      <c r="A65" s="3" t="s">
        <v>1385</v>
      </c>
      <c r="B65" s="3" t="s">
        <v>1386</v>
      </c>
      <c r="C65" s="3" t="s">
        <v>1387</v>
      </c>
      <c r="D65" s="3" t="s">
        <v>1388</v>
      </c>
    </row>
    <row r="66" customFormat="false" ht="60" hidden="false" customHeight="true" outlineLevel="0" collapsed="false">
      <c r="A66" s="3" t="s">
        <v>1389</v>
      </c>
      <c r="B66" s="3" t="s">
        <v>1390</v>
      </c>
      <c r="C66" s="3" t="s">
        <v>1391</v>
      </c>
      <c r="D66" s="3" t="s">
        <v>1392</v>
      </c>
    </row>
    <row r="67" customFormat="false" ht="60" hidden="false" customHeight="true" outlineLevel="0" collapsed="false">
      <c r="A67" s="3" t="s">
        <v>1393</v>
      </c>
      <c r="B67" s="3" t="s">
        <v>1394</v>
      </c>
      <c r="C67" s="3" t="s">
        <v>1395</v>
      </c>
      <c r="D67" s="3" t="s">
        <v>1396</v>
      </c>
    </row>
    <row r="68" customFormat="false" ht="60" hidden="false" customHeight="true" outlineLevel="0" collapsed="false">
      <c r="A68" s="3" t="s">
        <v>1397</v>
      </c>
      <c r="B68" s="3" t="s">
        <v>1398</v>
      </c>
      <c r="C68" s="3" t="s">
        <v>1399</v>
      </c>
      <c r="D68" s="3" t="s">
        <v>1400</v>
      </c>
    </row>
    <row r="70" customFormat="false" ht="15" hidden="false" customHeight="false" outlineLevel="0" collapsed="false">
      <c r="A70" s="6" t="s">
        <v>1401</v>
      </c>
      <c r="B70" s="6"/>
      <c r="C70" s="6"/>
      <c r="D70" s="6"/>
      <c r="E70" s="6"/>
      <c r="F70" s="6"/>
      <c r="G70" s="6"/>
      <c r="H70" s="6"/>
    </row>
    <row r="71" customFormat="false" ht="31.5" hidden="false" customHeight="true" outlineLevel="0" collapsed="false">
      <c r="A71" s="5" t="s">
        <v>1357</v>
      </c>
      <c r="B71" s="5" t="s">
        <v>1358</v>
      </c>
      <c r="C71" s="5" t="s">
        <v>1359</v>
      </c>
      <c r="D71" s="5" t="s">
        <v>1360</v>
      </c>
      <c r="E71" s="5"/>
      <c r="F71" s="5"/>
      <c r="G71" s="5"/>
      <c r="H71" s="5"/>
    </row>
    <row r="72" customFormat="false" ht="64.5" hidden="false" customHeight="true" outlineLevel="0" collapsed="false">
      <c r="A72" s="3" t="s">
        <v>1402</v>
      </c>
      <c r="B72" s="3" t="s">
        <v>1403</v>
      </c>
      <c r="C72" s="3" t="s">
        <v>1404</v>
      </c>
      <c r="D72" s="3" t="s">
        <v>1405</v>
      </c>
    </row>
    <row r="73" customFormat="false" ht="64.5" hidden="false" customHeight="true" outlineLevel="0" collapsed="false">
      <c r="A73" s="3" t="s">
        <v>1406</v>
      </c>
      <c r="B73" s="3" t="s">
        <v>1407</v>
      </c>
      <c r="C73" s="3" t="s">
        <v>1408</v>
      </c>
      <c r="D73" s="3" t="s">
        <v>1409</v>
      </c>
    </row>
    <row r="74" customFormat="false" ht="64.5" hidden="false" customHeight="true" outlineLevel="0" collapsed="false">
      <c r="A74" s="3" t="s">
        <v>1410</v>
      </c>
      <c r="B74" s="3" t="s">
        <v>1411</v>
      </c>
      <c r="C74" s="3" t="s">
        <v>1412</v>
      </c>
      <c r="D74" s="3" t="s">
        <v>1413</v>
      </c>
    </row>
    <row r="75" customFormat="false" ht="64.5" hidden="false" customHeight="true" outlineLevel="0" collapsed="false">
      <c r="A75" s="3" t="s">
        <v>1414</v>
      </c>
      <c r="B75" s="3" t="s">
        <v>1415</v>
      </c>
      <c r="C75" s="3" t="s">
        <v>1416</v>
      </c>
      <c r="D75" s="3" t="s">
        <v>1417</v>
      </c>
    </row>
    <row r="76" customFormat="false" ht="64.5" hidden="false" customHeight="true" outlineLevel="0" collapsed="false">
      <c r="A76" s="3" t="s">
        <v>1418</v>
      </c>
      <c r="B76" s="3" t="s">
        <v>1419</v>
      </c>
      <c r="C76" s="3" t="s">
        <v>1420</v>
      </c>
      <c r="D76" s="3" t="s">
        <v>1421</v>
      </c>
    </row>
    <row r="77" customFormat="false" ht="64.5" hidden="false" customHeight="true" outlineLevel="0" collapsed="false">
      <c r="A77" s="3" t="s">
        <v>1422</v>
      </c>
      <c r="B77" s="3" t="s">
        <v>1423</v>
      </c>
      <c r="C77" s="3" t="s">
        <v>1424</v>
      </c>
      <c r="D77" s="3" t="s">
        <v>1425</v>
      </c>
    </row>
    <row r="78" customFormat="false" ht="64.5" hidden="false" customHeight="true" outlineLevel="0" collapsed="false">
      <c r="A78" s="3" t="s">
        <v>1426</v>
      </c>
      <c r="B78" s="3" t="s">
        <v>1427</v>
      </c>
      <c r="C78" s="3" t="s">
        <v>1428</v>
      </c>
      <c r="D78" s="3" t="s">
        <v>1429</v>
      </c>
    </row>
    <row r="79" customFormat="false" ht="64.5" hidden="false" customHeight="true" outlineLevel="0" collapsed="false">
      <c r="A79" s="3" t="s">
        <v>1430</v>
      </c>
      <c r="B79" s="3" t="s">
        <v>1431</v>
      </c>
      <c r="C79" s="3" t="s">
        <v>1432</v>
      </c>
      <c r="D79" s="3" t="s">
        <v>1433</v>
      </c>
    </row>
    <row r="80" customFormat="false" ht="64.5" hidden="false" customHeight="true" outlineLevel="0" collapsed="false">
      <c r="A80" s="3" t="s">
        <v>1434</v>
      </c>
      <c r="B80" s="3" t="s">
        <v>1435</v>
      </c>
      <c r="C80" s="3" t="s">
        <v>1436</v>
      </c>
      <c r="D80" s="3" t="s">
        <v>1437</v>
      </c>
    </row>
    <row r="81" customFormat="false" ht="64.5" hidden="false" customHeight="true" outlineLevel="0" collapsed="false">
      <c r="A81" s="3" t="s">
        <v>1438</v>
      </c>
      <c r="B81" s="3" t="s">
        <v>1439</v>
      </c>
      <c r="C81" s="3" t="s">
        <v>1440</v>
      </c>
      <c r="D81" s="3" t="s">
        <v>1441</v>
      </c>
    </row>
    <row r="83" customFormat="false" ht="15" hidden="false" customHeight="false" outlineLevel="0" collapsed="false">
      <c r="A83" s="6" t="s">
        <v>1442</v>
      </c>
      <c r="B83" s="6"/>
      <c r="C83" s="6"/>
      <c r="D83" s="6"/>
      <c r="E83" s="6"/>
      <c r="F83" s="6"/>
      <c r="G83" s="6"/>
      <c r="H83" s="6"/>
    </row>
    <row r="84" customFormat="false" ht="319.5" hidden="false" customHeight="true" outlineLevel="0" collapsed="false">
      <c r="A84" s="40" t="s">
        <v>1443</v>
      </c>
      <c r="B84" s="40"/>
      <c r="C84" s="40"/>
      <c r="D84" s="40"/>
      <c r="E84" s="40"/>
      <c r="F84" s="40"/>
      <c r="G84" s="40"/>
      <c r="H84" s="40"/>
    </row>
    <row r="86" customFormat="false" ht="21.75" hidden="false" customHeight="true" outlineLevel="0" collapsed="false">
      <c r="A86" s="2" t="s">
        <v>1444</v>
      </c>
      <c r="B86" s="2"/>
      <c r="C86" s="2"/>
      <c r="D86" s="2"/>
      <c r="E86" s="2"/>
      <c r="F86" s="2"/>
      <c r="G86" s="2"/>
      <c r="H86" s="2"/>
    </row>
    <row r="88" customFormat="false" ht="79.5" hidden="false" customHeight="true" outlineLevel="0" collapsed="false">
      <c r="A88" s="40" t="s">
        <v>1445</v>
      </c>
      <c r="B88" s="40"/>
      <c r="C88" s="40"/>
      <c r="D88" s="40"/>
      <c r="E88" s="40"/>
      <c r="F88" s="40"/>
      <c r="G88" s="40"/>
      <c r="H88" s="40"/>
    </row>
    <row r="90" customFormat="false" ht="31.5" hidden="false" customHeight="true" outlineLevel="0" collapsed="false">
      <c r="A90" s="5" t="s">
        <v>1446</v>
      </c>
      <c r="B90" s="5" t="s">
        <v>1447</v>
      </c>
      <c r="C90" s="5" t="s">
        <v>1448</v>
      </c>
      <c r="D90" s="5" t="s">
        <v>1449</v>
      </c>
      <c r="E90" s="5" t="s">
        <v>1360</v>
      </c>
      <c r="F90" s="5"/>
      <c r="G90" s="5"/>
      <c r="H90" s="5"/>
    </row>
    <row r="91" customFormat="false" ht="69.75" hidden="false" customHeight="true" outlineLevel="0" collapsed="false">
      <c r="A91" s="3" t="s">
        <v>1373</v>
      </c>
      <c r="B91" s="3" t="s">
        <v>1450</v>
      </c>
      <c r="C91" s="3" t="s">
        <v>1451</v>
      </c>
      <c r="D91" s="3" t="s">
        <v>1452</v>
      </c>
      <c r="E91" s="3" t="s">
        <v>1453</v>
      </c>
    </row>
    <row r="92" customFormat="false" ht="69.75" hidden="false" customHeight="true" outlineLevel="0" collapsed="false">
      <c r="A92" s="3" t="s">
        <v>1454</v>
      </c>
      <c r="B92" s="3" t="s">
        <v>1455</v>
      </c>
      <c r="C92" s="3" t="s">
        <v>1456</v>
      </c>
      <c r="D92" s="3" t="s">
        <v>1457</v>
      </c>
      <c r="E92" s="3" t="s">
        <v>1458</v>
      </c>
    </row>
    <row r="93" customFormat="false" ht="69.75" hidden="false" customHeight="true" outlineLevel="0" collapsed="false">
      <c r="A93" s="3" t="s">
        <v>1459</v>
      </c>
      <c r="B93" s="3" t="s">
        <v>1460</v>
      </c>
      <c r="C93" s="3" t="s">
        <v>1461</v>
      </c>
      <c r="D93" s="3" t="s">
        <v>1462</v>
      </c>
      <c r="E93" s="3" t="s">
        <v>1463</v>
      </c>
    </row>
    <row r="94" customFormat="false" ht="69.75" hidden="false" customHeight="true" outlineLevel="0" collapsed="false">
      <c r="A94" s="3" t="s">
        <v>1464</v>
      </c>
      <c r="B94" s="3" t="s">
        <v>1465</v>
      </c>
      <c r="C94" s="3" t="s">
        <v>1466</v>
      </c>
      <c r="D94" s="3" t="s">
        <v>1467</v>
      </c>
      <c r="E94" s="3" t="s">
        <v>1468</v>
      </c>
    </row>
    <row r="95" customFormat="false" ht="69.75" hidden="false" customHeight="true" outlineLevel="0" collapsed="false">
      <c r="A95" s="3" t="s">
        <v>1469</v>
      </c>
      <c r="B95" s="3" t="s">
        <v>1470</v>
      </c>
      <c r="C95" s="3" t="s">
        <v>1471</v>
      </c>
      <c r="D95" s="3" t="s">
        <v>1472</v>
      </c>
      <c r="E95" s="3" t="s">
        <v>1473</v>
      </c>
    </row>
    <row r="96" customFormat="false" ht="69.75" hidden="false" customHeight="true" outlineLevel="0" collapsed="false">
      <c r="A96" s="3" t="s">
        <v>1474</v>
      </c>
      <c r="B96" s="3" t="s">
        <v>1475</v>
      </c>
      <c r="C96" s="3" t="s">
        <v>1476</v>
      </c>
      <c r="D96" s="3" t="s">
        <v>1477</v>
      </c>
      <c r="E96" s="3" t="s">
        <v>1478</v>
      </c>
    </row>
    <row r="97" customFormat="false" ht="69.75" hidden="false" customHeight="true" outlineLevel="0" collapsed="false">
      <c r="A97" s="3" t="s">
        <v>1479</v>
      </c>
      <c r="B97" s="3" t="s">
        <v>1480</v>
      </c>
      <c r="C97" s="3" t="s">
        <v>1481</v>
      </c>
      <c r="D97" s="3" t="s">
        <v>1482</v>
      </c>
      <c r="E97" s="3" t="s">
        <v>1483</v>
      </c>
    </row>
    <row r="98" customFormat="false" ht="69.75" hidden="false" customHeight="true" outlineLevel="0" collapsed="false">
      <c r="A98" s="3" t="s">
        <v>1484</v>
      </c>
      <c r="B98" s="3" t="s">
        <v>1485</v>
      </c>
      <c r="C98" s="3" t="s">
        <v>1486</v>
      </c>
      <c r="D98" s="3" t="s">
        <v>1487</v>
      </c>
      <c r="E98" s="3" t="s">
        <v>1488</v>
      </c>
    </row>
    <row r="99" customFormat="false" ht="69.75" hidden="false" customHeight="true" outlineLevel="0" collapsed="false">
      <c r="A99" s="3" t="s">
        <v>1489</v>
      </c>
      <c r="B99" s="3" t="s">
        <v>1490</v>
      </c>
      <c r="C99" s="3" t="s">
        <v>1491</v>
      </c>
      <c r="D99" s="3" t="s">
        <v>1462</v>
      </c>
      <c r="E99" s="3" t="s">
        <v>1492</v>
      </c>
    </row>
    <row r="100" customFormat="false" ht="69.75" hidden="false" customHeight="true" outlineLevel="0" collapsed="false">
      <c r="A100" s="3" t="s">
        <v>1493</v>
      </c>
      <c r="B100" s="3" t="s">
        <v>1494</v>
      </c>
      <c r="C100" s="3" t="s">
        <v>1495</v>
      </c>
      <c r="D100" s="3" t="s">
        <v>1496</v>
      </c>
      <c r="E100" s="3" t="s">
        <v>1497</v>
      </c>
    </row>
    <row r="102" customFormat="false" ht="139.5" hidden="false" customHeight="true" outlineLevel="0" collapsed="false">
      <c r="A102" s="37" t="s">
        <v>1498</v>
      </c>
      <c r="B102" s="37"/>
      <c r="C102" s="37"/>
      <c r="D102" s="37"/>
      <c r="E102" s="37"/>
      <c r="F102" s="37"/>
      <c r="G102" s="37"/>
      <c r="H102" s="37"/>
    </row>
    <row r="105" customFormat="false" ht="21.75" hidden="false" customHeight="true" outlineLevel="0" collapsed="false">
      <c r="A105" s="2" t="s">
        <v>1499</v>
      </c>
      <c r="B105" s="2"/>
      <c r="C105" s="2"/>
      <c r="D105" s="2"/>
      <c r="E105" s="2"/>
      <c r="F105" s="2"/>
      <c r="G105" s="2"/>
      <c r="H105" s="2"/>
    </row>
    <row r="107" customFormat="false" ht="99.75" hidden="false" customHeight="true" outlineLevel="0" collapsed="false">
      <c r="A107" s="25" t="s">
        <v>1500</v>
      </c>
      <c r="B107" s="25"/>
      <c r="C107" s="25"/>
      <c r="D107" s="25"/>
      <c r="E107" s="25"/>
      <c r="F107" s="25"/>
      <c r="G107" s="25"/>
      <c r="H107" s="25"/>
    </row>
    <row r="109" customFormat="false" ht="31.5" hidden="false" customHeight="true" outlineLevel="0" collapsed="false">
      <c r="A109" s="5" t="s">
        <v>1501</v>
      </c>
      <c r="B109" s="5" t="s">
        <v>1502</v>
      </c>
      <c r="C109" s="5" t="s">
        <v>1503</v>
      </c>
      <c r="D109" s="5" t="s">
        <v>1504</v>
      </c>
      <c r="E109" s="5" t="s">
        <v>1505</v>
      </c>
      <c r="F109" s="5"/>
      <c r="G109" s="5"/>
      <c r="H109" s="5"/>
    </row>
    <row r="110" customFormat="false" ht="75" hidden="false" customHeight="true" outlineLevel="0" collapsed="false">
      <c r="A110" s="3" t="s">
        <v>1506</v>
      </c>
      <c r="B110" s="3" t="s">
        <v>1507</v>
      </c>
      <c r="C110" s="3" t="s">
        <v>1508</v>
      </c>
      <c r="D110" s="3" t="s">
        <v>1509</v>
      </c>
      <c r="E110" s="3" t="s">
        <v>1510</v>
      </c>
    </row>
    <row r="111" customFormat="false" ht="75" hidden="false" customHeight="true" outlineLevel="0" collapsed="false">
      <c r="A111" s="3" t="s">
        <v>1511</v>
      </c>
      <c r="B111" s="3" t="s">
        <v>1512</v>
      </c>
      <c r="C111" s="3" t="s">
        <v>1513</v>
      </c>
      <c r="D111" s="3" t="s">
        <v>1514</v>
      </c>
      <c r="E111" s="3" t="s">
        <v>1515</v>
      </c>
    </row>
    <row r="112" customFormat="false" ht="75" hidden="false" customHeight="true" outlineLevel="0" collapsed="false">
      <c r="A112" s="3" t="s">
        <v>1516</v>
      </c>
      <c r="B112" s="3" t="s">
        <v>1517</v>
      </c>
      <c r="C112" s="3" t="s">
        <v>1518</v>
      </c>
      <c r="D112" s="3" t="s">
        <v>1519</v>
      </c>
      <c r="E112" s="3" t="s">
        <v>1515</v>
      </c>
    </row>
    <row r="113" customFormat="false" ht="75" hidden="false" customHeight="true" outlineLevel="0" collapsed="false">
      <c r="A113" s="3" t="s">
        <v>1520</v>
      </c>
      <c r="B113" s="3" t="s">
        <v>1521</v>
      </c>
      <c r="C113" s="3" t="s">
        <v>1522</v>
      </c>
      <c r="D113" s="3" t="s">
        <v>1523</v>
      </c>
      <c r="E113" s="3" t="s">
        <v>1524</v>
      </c>
    </row>
    <row r="114" customFormat="false" ht="75" hidden="false" customHeight="true" outlineLevel="0" collapsed="false">
      <c r="A114" s="3" t="s">
        <v>1525</v>
      </c>
      <c r="B114" s="3" t="s">
        <v>1526</v>
      </c>
      <c r="C114" s="3" t="s">
        <v>1527</v>
      </c>
      <c r="D114" s="3" t="s">
        <v>1528</v>
      </c>
      <c r="E114" s="3" t="s">
        <v>1515</v>
      </c>
    </row>
    <row r="115" customFormat="false" ht="75" hidden="false" customHeight="true" outlineLevel="0" collapsed="false">
      <c r="A115" s="3" t="s">
        <v>1529</v>
      </c>
      <c r="B115" s="3" t="s">
        <v>1530</v>
      </c>
      <c r="C115" s="3" t="s">
        <v>1531</v>
      </c>
      <c r="D115" s="3" t="s">
        <v>1532</v>
      </c>
      <c r="E115" s="3" t="s">
        <v>1533</v>
      </c>
    </row>
    <row r="116" customFormat="false" ht="75" hidden="false" customHeight="true" outlineLevel="0" collapsed="false">
      <c r="A116" s="3" t="s">
        <v>1534</v>
      </c>
      <c r="B116" s="3" t="s">
        <v>1535</v>
      </c>
      <c r="C116" s="3" t="s">
        <v>1536</v>
      </c>
      <c r="D116" s="3" t="s">
        <v>1537</v>
      </c>
      <c r="E116" s="3" t="s">
        <v>1515</v>
      </c>
    </row>
    <row r="117" customFormat="false" ht="75" hidden="false" customHeight="true" outlineLevel="0" collapsed="false">
      <c r="A117" s="3" t="s">
        <v>1538</v>
      </c>
      <c r="B117" s="3" t="s">
        <v>1539</v>
      </c>
      <c r="C117" s="3" t="s">
        <v>1540</v>
      </c>
      <c r="D117" s="3" t="s">
        <v>1541</v>
      </c>
      <c r="E117" s="3" t="s">
        <v>1542</v>
      </c>
    </row>
    <row r="120" customFormat="false" ht="21.75" hidden="false" customHeight="true" outlineLevel="0" collapsed="false">
      <c r="A120" s="2" t="s">
        <v>1543</v>
      </c>
      <c r="B120" s="2"/>
      <c r="C120" s="2"/>
      <c r="D120" s="2"/>
      <c r="E120" s="2"/>
      <c r="F120" s="2"/>
      <c r="G120" s="2"/>
      <c r="H120" s="2"/>
    </row>
    <row r="122" customFormat="false" ht="49.5" hidden="false" customHeight="true" outlineLevel="0" collapsed="false">
      <c r="A122" s="38" t="s">
        <v>1544</v>
      </c>
      <c r="B122" s="38"/>
      <c r="C122" s="38"/>
      <c r="D122" s="38"/>
      <c r="E122" s="38"/>
      <c r="F122" s="38"/>
      <c r="G122" s="38"/>
      <c r="H122" s="38"/>
    </row>
    <row r="124" customFormat="false" ht="31.5" hidden="false" customHeight="true" outlineLevel="0" collapsed="false">
      <c r="A124" s="5" t="s">
        <v>525</v>
      </c>
      <c r="B124" s="5" t="s">
        <v>1545</v>
      </c>
      <c r="C124" s="5" t="s">
        <v>1546</v>
      </c>
      <c r="D124" s="5" t="s">
        <v>1547</v>
      </c>
      <c r="E124" s="5"/>
      <c r="F124" s="5"/>
      <c r="G124" s="5"/>
      <c r="H124" s="5"/>
    </row>
    <row r="125" customFormat="false" ht="69.75" hidden="false" customHeight="true" outlineLevel="0" collapsed="false">
      <c r="A125" s="3" t="n">
        <v>1</v>
      </c>
      <c r="B125" s="3" t="s">
        <v>1548</v>
      </c>
      <c r="C125" s="3" t="s">
        <v>1549</v>
      </c>
      <c r="D125" s="3" t="s">
        <v>1550</v>
      </c>
    </row>
    <row r="126" customFormat="false" ht="69.75" hidden="false" customHeight="true" outlineLevel="0" collapsed="false">
      <c r="A126" s="3" t="n">
        <v>2</v>
      </c>
      <c r="B126" s="3" t="s">
        <v>1551</v>
      </c>
      <c r="C126" s="3" t="s">
        <v>1552</v>
      </c>
      <c r="D126" s="3" t="s">
        <v>1553</v>
      </c>
    </row>
    <row r="127" customFormat="false" ht="69.75" hidden="false" customHeight="true" outlineLevel="0" collapsed="false">
      <c r="A127" s="3" t="n">
        <v>3</v>
      </c>
      <c r="B127" s="3" t="s">
        <v>1554</v>
      </c>
      <c r="C127" s="3" t="s">
        <v>1555</v>
      </c>
      <c r="D127" s="3" t="s">
        <v>1556</v>
      </c>
    </row>
    <row r="128" customFormat="false" ht="69.75" hidden="false" customHeight="true" outlineLevel="0" collapsed="false">
      <c r="A128" s="3" t="n">
        <v>4</v>
      </c>
      <c r="B128" s="3" t="s">
        <v>1557</v>
      </c>
      <c r="C128" s="3" t="s">
        <v>1558</v>
      </c>
      <c r="D128" s="3" t="s">
        <v>1559</v>
      </c>
    </row>
    <row r="129" customFormat="false" ht="69.75" hidden="false" customHeight="true" outlineLevel="0" collapsed="false">
      <c r="A129" s="3" t="n">
        <v>5</v>
      </c>
      <c r="B129" s="3" t="s">
        <v>1560</v>
      </c>
      <c r="C129" s="3" t="s">
        <v>1561</v>
      </c>
      <c r="D129" s="3" t="s">
        <v>1562</v>
      </c>
    </row>
    <row r="130" customFormat="false" ht="69.75" hidden="false" customHeight="true" outlineLevel="0" collapsed="false">
      <c r="A130" s="3" t="n">
        <v>6</v>
      </c>
      <c r="B130" s="3" t="s">
        <v>1563</v>
      </c>
      <c r="C130" s="3" t="s">
        <v>1564</v>
      </c>
      <c r="D130" s="3" t="s">
        <v>1565</v>
      </c>
    </row>
    <row r="131" customFormat="false" ht="69.75" hidden="false" customHeight="true" outlineLevel="0" collapsed="false">
      <c r="A131" s="3" t="n">
        <v>7</v>
      </c>
      <c r="B131" s="3" t="s">
        <v>1566</v>
      </c>
      <c r="C131" s="3" t="s">
        <v>1567</v>
      </c>
      <c r="D131" s="3" t="s">
        <v>1568</v>
      </c>
    </row>
    <row r="133" customFormat="false" ht="15" hidden="false" customHeight="false" outlineLevel="0" collapsed="false">
      <c r="A133" s="6" t="s">
        <v>1569</v>
      </c>
      <c r="B133" s="6"/>
      <c r="C133" s="6"/>
      <c r="D133" s="6"/>
      <c r="E133" s="6"/>
      <c r="F133" s="6"/>
      <c r="G133" s="6"/>
      <c r="H133" s="6"/>
    </row>
    <row r="134" customFormat="false" ht="31.5" hidden="false" customHeight="true" outlineLevel="0" collapsed="false">
      <c r="A134" s="5" t="s">
        <v>1570</v>
      </c>
      <c r="B134" s="5" t="s">
        <v>1571</v>
      </c>
      <c r="C134" s="5" t="s">
        <v>1572</v>
      </c>
      <c r="D134" s="5" t="s">
        <v>1573</v>
      </c>
      <c r="E134" s="5"/>
      <c r="F134" s="5"/>
      <c r="G134" s="5"/>
      <c r="H134" s="5"/>
    </row>
    <row r="135" customFormat="false" ht="49.5" hidden="false" customHeight="true" outlineLevel="0" collapsed="false">
      <c r="A135" s="3" t="s">
        <v>1574</v>
      </c>
      <c r="B135" s="3" t="s">
        <v>1575</v>
      </c>
      <c r="C135" s="3" t="s">
        <v>1576</v>
      </c>
      <c r="D135" s="3" t="s">
        <v>1577</v>
      </c>
    </row>
    <row r="136" customFormat="false" ht="49.5" hidden="false" customHeight="true" outlineLevel="0" collapsed="false">
      <c r="A136" s="3" t="s">
        <v>1578</v>
      </c>
      <c r="B136" s="3" t="s">
        <v>1579</v>
      </c>
      <c r="C136" s="3" t="s">
        <v>1580</v>
      </c>
      <c r="D136" s="3" t="s">
        <v>1581</v>
      </c>
    </row>
    <row r="137" customFormat="false" ht="49.5" hidden="false" customHeight="true" outlineLevel="0" collapsed="false">
      <c r="A137" s="3" t="s">
        <v>1582</v>
      </c>
      <c r="B137" s="3" t="s">
        <v>1583</v>
      </c>
      <c r="C137" s="3" t="s">
        <v>1584</v>
      </c>
      <c r="D137" s="3" t="s">
        <v>1585</v>
      </c>
    </row>
    <row r="138" customFormat="false" ht="49.5" hidden="false" customHeight="true" outlineLevel="0" collapsed="false">
      <c r="A138" s="3" t="s">
        <v>1586</v>
      </c>
      <c r="B138" s="3" t="s">
        <v>1587</v>
      </c>
      <c r="C138" s="3" t="s">
        <v>1588</v>
      </c>
      <c r="D138" s="3" t="s">
        <v>1589</v>
      </c>
    </row>
    <row r="139" customFormat="false" ht="49.5" hidden="false" customHeight="true" outlineLevel="0" collapsed="false">
      <c r="A139" s="3" t="s">
        <v>1590</v>
      </c>
      <c r="B139" s="3" t="s">
        <v>1591</v>
      </c>
      <c r="C139" s="3" t="s">
        <v>1592</v>
      </c>
      <c r="D139" s="3" t="s">
        <v>1593</v>
      </c>
    </row>
    <row r="140" customFormat="false" ht="49.5" hidden="false" customHeight="true" outlineLevel="0" collapsed="false">
      <c r="A140" s="3" t="s">
        <v>1594</v>
      </c>
      <c r="B140" s="3" t="s">
        <v>1595</v>
      </c>
      <c r="C140" s="3" t="s">
        <v>1596</v>
      </c>
      <c r="D140" s="3" t="s">
        <v>1597</v>
      </c>
    </row>
    <row r="143" customFormat="false" ht="21.75" hidden="false" customHeight="true" outlineLevel="0" collapsed="false">
      <c r="A143" s="2" t="s">
        <v>1598</v>
      </c>
      <c r="B143" s="2"/>
      <c r="C143" s="2"/>
      <c r="D143" s="2"/>
      <c r="E143" s="2"/>
      <c r="F143" s="2"/>
      <c r="G143" s="2"/>
      <c r="H143" s="2"/>
    </row>
    <row r="145" customFormat="false" ht="31.5" hidden="false" customHeight="true" outlineLevel="0" collapsed="false">
      <c r="A145" s="5" t="s">
        <v>525</v>
      </c>
      <c r="B145" s="5" t="s">
        <v>1599</v>
      </c>
      <c r="C145" s="5" t="s">
        <v>1600</v>
      </c>
      <c r="D145" s="5" t="s">
        <v>1601</v>
      </c>
      <c r="E145" s="5" t="s">
        <v>1602</v>
      </c>
      <c r="F145" s="5" t="s">
        <v>1603</v>
      </c>
      <c r="G145" s="5" t="s">
        <v>1604</v>
      </c>
      <c r="H145" s="5" t="s">
        <v>588</v>
      </c>
    </row>
    <row r="146" customFormat="false" ht="64.5" hidden="false" customHeight="true" outlineLevel="0" collapsed="false">
      <c r="A146" s="3" t="n">
        <v>1</v>
      </c>
      <c r="B146" s="3" t="s">
        <v>1605</v>
      </c>
      <c r="C146" s="3" t="s">
        <v>1606</v>
      </c>
      <c r="D146" s="3" t="s">
        <v>1607</v>
      </c>
      <c r="E146" s="32" t="s">
        <v>558</v>
      </c>
      <c r="F146" s="3" t="s">
        <v>1608</v>
      </c>
      <c r="G146" s="3" t="s">
        <v>1609</v>
      </c>
      <c r="H146" s="3" t="s">
        <v>610</v>
      </c>
    </row>
    <row r="147" customFormat="false" ht="64.5" hidden="false" customHeight="true" outlineLevel="0" collapsed="false">
      <c r="A147" s="3" t="n">
        <v>2</v>
      </c>
      <c r="B147" s="3" t="s">
        <v>1610</v>
      </c>
      <c r="C147" s="3" t="s">
        <v>1611</v>
      </c>
      <c r="D147" s="3" t="s">
        <v>1612</v>
      </c>
      <c r="E147" s="41" t="s">
        <v>1613</v>
      </c>
      <c r="F147" s="3" t="s">
        <v>1614</v>
      </c>
      <c r="G147" s="3" t="s">
        <v>1615</v>
      </c>
      <c r="H147" s="3" t="s">
        <v>1616</v>
      </c>
    </row>
    <row r="148" customFormat="false" ht="64.5" hidden="false" customHeight="true" outlineLevel="0" collapsed="false">
      <c r="A148" s="3" t="n">
        <v>3</v>
      </c>
      <c r="B148" s="3" t="s">
        <v>1617</v>
      </c>
      <c r="C148" s="3" t="s">
        <v>1606</v>
      </c>
      <c r="D148" s="3" t="s">
        <v>1618</v>
      </c>
      <c r="E148" s="41" t="s">
        <v>1613</v>
      </c>
      <c r="F148" s="3" t="s">
        <v>1619</v>
      </c>
      <c r="G148" s="3" t="s">
        <v>1620</v>
      </c>
      <c r="H148" s="3" t="s">
        <v>1621</v>
      </c>
    </row>
    <row r="149" customFormat="false" ht="64.5" hidden="false" customHeight="true" outlineLevel="0" collapsed="false">
      <c r="A149" s="3" t="n">
        <v>4</v>
      </c>
      <c r="B149" s="3" t="s">
        <v>1622</v>
      </c>
      <c r="C149" s="3" t="s">
        <v>1611</v>
      </c>
      <c r="D149" s="3" t="s">
        <v>1623</v>
      </c>
      <c r="E149" s="41" t="s">
        <v>1624</v>
      </c>
      <c r="F149" s="3" t="s">
        <v>1625</v>
      </c>
      <c r="G149" s="3" t="s">
        <v>1626</v>
      </c>
      <c r="H149" s="3" t="s">
        <v>618</v>
      </c>
    </row>
    <row r="150" customFormat="false" ht="64.5" hidden="false" customHeight="true" outlineLevel="0" collapsed="false">
      <c r="A150" s="3" t="n">
        <v>5</v>
      </c>
      <c r="B150" s="3" t="s">
        <v>1627</v>
      </c>
      <c r="C150" s="3" t="s">
        <v>1628</v>
      </c>
      <c r="D150" s="3" t="s">
        <v>1629</v>
      </c>
      <c r="E150" s="41" t="s">
        <v>1613</v>
      </c>
      <c r="F150" s="3" t="s">
        <v>1630</v>
      </c>
      <c r="G150" s="3" t="s">
        <v>1631</v>
      </c>
      <c r="H150" s="3" t="s">
        <v>1616</v>
      </c>
    </row>
    <row r="151" customFormat="false" ht="64.5" hidden="false" customHeight="true" outlineLevel="0" collapsed="false">
      <c r="A151" s="3" t="n">
        <v>6</v>
      </c>
      <c r="B151" s="3" t="s">
        <v>1632</v>
      </c>
      <c r="C151" s="3" t="s">
        <v>1633</v>
      </c>
      <c r="D151" s="3" t="s">
        <v>1634</v>
      </c>
      <c r="E151" s="32" t="s">
        <v>558</v>
      </c>
      <c r="F151" s="3" t="s">
        <v>1635</v>
      </c>
      <c r="G151" s="3" t="s">
        <v>1636</v>
      </c>
      <c r="H151" s="3" t="s">
        <v>1633</v>
      </c>
    </row>
    <row r="152" customFormat="false" ht="64.5" hidden="false" customHeight="true" outlineLevel="0" collapsed="false">
      <c r="A152" s="3" t="n">
        <v>7</v>
      </c>
      <c r="B152" s="3" t="s">
        <v>1637</v>
      </c>
      <c r="C152" s="3" t="s">
        <v>1606</v>
      </c>
      <c r="D152" s="3" t="s">
        <v>1638</v>
      </c>
      <c r="E152" s="32" t="s">
        <v>558</v>
      </c>
      <c r="F152" s="3" t="s">
        <v>1639</v>
      </c>
      <c r="G152" s="3" t="s">
        <v>1640</v>
      </c>
      <c r="H152" s="3" t="s">
        <v>1641</v>
      </c>
    </row>
    <row r="153" customFormat="false" ht="64.5" hidden="false" customHeight="true" outlineLevel="0" collapsed="false">
      <c r="A153" s="3" t="n">
        <v>8</v>
      </c>
      <c r="B153" s="3" t="s">
        <v>1642</v>
      </c>
      <c r="C153" s="3" t="s">
        <v>1643</v>
      </c>
      <c r="D153" s="3" t="s">
        <v>1644</v>
      </c>
      <c r="E153" s="32" t="s">
        <v>558</v>
      </c>
      <c r="F153" s="3" t="s">
        <v>1645</v>
      </c>
      <c r="G153" s="3" t="s">
        <v>1646</v>
      </c>
      <c r="H153" s="3" t="s">
        <v>1462</v>
      </c>
    </row>
    <row r="154" customFormat="false" ht="64.5" hidden="false" customHeight="true" outlineLevel="0" collapsed="false">
      <c r="A154" s="3" t="n">
        <v>9</v>
      </c>
      <c r="B154" s="3" t="s">
        <v>1647</v>
      </c>
      <c r="C154" s="3" t="s">
        <v>1648</v>
      </c>
      <c r="D154" s="3" t="s">
        <v>1649</v>
      </c>
      <c r="E154" s="32" t="s">
        <v>558</v>
      </c>
      <c r="F154" s="3" t="s">
        <v>1650</v>
      </c>
      <c r="G154" s="3" t="s">
        <v>1651</v>
      </c>
      <c r="H154" s="3" t="s">
        <v>602</v>
      </c>
    </row>
    <row r="155" customFormat="false" ht="64.5" hidden="false" customHeight="true" outlineLevel="0" collapsed="false">
      <c r="A155" s="3" t="n">
        <v>10</v>
      </c>
      <c r="B155" s="3" t="s">
        <v>1652</v>
      </c>
      <c r="C155" s="3" t="s">
        <v>1653</v>
      </c>
      <c r="D155" s="3" t="s">
        <v>1654</v>
      </c>
      <c r="E155" s="41" t="s">
        <v>1655</v>
      </c>
      <c r="F155" s="3" t="s">
        <v>1656</v>
      </c>
      <c r="G155" s="3" t="s">
        <v>1657</v>
      </c>
      <c r="H155" s="3" t="s">
        <v>1658</v>
      </c>
    </row>
    <row r="157" customFormat="false" ht="79.5" hidden="false" customHeight="true" outlineLevel="0" collapsed="false">
      <c r="A157" s="42" t="s">
        <v>1659</v>
      </c>
      <c r="B157" s="42"/>
      <c r="C157" s="42"/>
      <c r="D157" s="42"/>
      <c r="E157" s="42"/>
      <c r="F157" s="42"/>
      <c r="G157" s="42"/>
      <c r="H157" s="42"/>
    </row>
    <row r="160" customFormat="false" ht="21.75" hidden="false" customHeight="true" outlineLevel="0" collapsed="false">
      <c r="A160" s="2" t="s">
        <v>1660</v>
      </c>
      <c r="B160" s="2"/>
      <c r="C160" s="2"/>
      <c r="D160" s="2"/>
      <c r="E160" s="2"/>
      <c r="F160" s="2"/>
      <c r="G160" s="2"/>
      <c r="H160" s="2"/>
    </row>
    <row r="162" customFormat="false" ht="31.5" hidden="false" customHeight="true" outlineLevel="0" collapsed="false">
      <c r="A162" s="5" t="s">
        <v>1661</v>
      </c>
      <c r="B162" s="5" t="s">
        <v>1662</v>
      </c>
      <c r="C162" s="5" t="s">
        <v>1663</v>
      </c>
      <c r="D162" s="5" t="s">
        <v>587</v>
      </c>
      <c r="E162" s="5" t="s">
        <v>1664</v>
      </c>
      <c r="F162" s="5"/>
      <c r="G162" s="5"/>
      <c r="H162" s="5"/>
    </row>
    <row r="163" customFormat="false" ht="75" hidden="false" customHeight="true" outlineLevel="0" collapsed="false">
      <c r="A163" s="3" t="s">
        <v>1665</v>
      </c>
      <c r="B163" s="3" t="s">
        <v>1666</v>
      </c>
      <c r="C163" s="3" t="s">
        <v>1667</v>
      </c>
      <c r="D163" s="3" t="s">
        <v>1668</v>
      </c>
      <c r="E163" s="3" t="s">
        <v>1669</v>
      </c>
    </row>
    <row r="164" customFormat="false" ht="75" hidden="false" customHeight="true" outlineLevel="0" collapsed="false">
      <c r="A164" s="3" t="s">
        <v>1670</v>
      </c>
      <c r="B164" s="3" t="s">
        <v>1671</v>
      </c>
      <c r="C164" s="3" t="s">
        <v>1672</v>
      </c>
      <c r="D164" s="3" t="s">
        <v>617</v>
      </c>
      <c r="E164" s="3" t="s">
        <v>1673</v>
      </c>
    </row>
    <row r="165" customFormat="false" ht="75" hidden="false" customHeight="true" outlineLevel="0" collapsed="false">
      <c r="A165" s="3" t="s">
        <v>1674</v>
      </c>
      <c r="B165" s="3" t="s">
        <v>1675</v>
      </c>
      <c r="C165" s="3" t="s">
        <v>1676</v>
      </c>
      <c r="D165" s="3" t="s">
        <v>1677</v>
      </c>
      <c r="E165" s="3" t="s">
        <v>1678</v>
      </c>
    </row>
    <row r="166" customFormat="false" ht="75" hidden="false" customHeight="true" outlineLevel="0" collapsed="false">
      <c r="A166" s="3" t="s">
        <v>1679</v>
      </c>
      <c r="B166" s="3" t="s">
        <v>1680</v>
      </c>
      <c r="C166" s="3" t="s">
        <v>1681</v>
      </c>
      <c r="D166" s="3" t="s">
        <v>1682</v>
      </c>
      <c r="E166" s="3" t="s">
        <v>1683</v>
      </c>
    </row>
    <row r="167" customFormat="false" ht="75" hidden="false" customHeight="true" outlineLevel="0" collapsed="false">
      <c r="A167" s="3" t="s">
        <v>1684</v>
      </c>
      <c r="B167" s="3" t="s">
        <v>1685</v>
      </c>
      <c r="C167" s="3" t="s">
        <v>1686</v>
      </c>
      <c r="D167" s="3" t="s">
        <v>1687</v>
      </c>
      <c r="E167" s="3" t="s">
        <v>1688</v>
      </c>
    </row>
    <row r="168" customFormat="false" ht="75" hidden="false" customHeight="true" outlineLevel="0" collapsed="false">
      <c r="A168" s="3" t="s">
        <v>1689</v>
      </c>
      <c r="B168" s="3" t="s">
        <v>1690</v>
      </c>
      <c r="C168" s="3" t="s">
        <v>1691</v>
      </c>
      <c r="D168" s="3" t="s">
        <v>1692</v>
      </c>
      <c r="E168" s="3" t="s">
        <v>1693</v>
      </c>
    </row>
  </sheetData>
  <mergeCells count="26">
    <mergeCell ref="A1:H1"/>
    <mergeCell ref="A3:H3"/>
    <mergeCell ref="A4:H4"/>
    <mergeCell ref="A16:H16"/>
    <mergeCell ref="A19:H19"/>
    <mergeCell ref="A21:H21"/>
    <mergeCell ref="A34:H34"/>
    <mergeCell ref="A37:H37"/>
    <mergeCell ref="A39:H39"/>
    <mergeCell ref="A53:H53"/>
    <mergeCell ref="A55:H55"/>
    <mergeCell ref="A57:H57"/>
    <mergeCell ref="A70:H70"/>
    <mergeCell ref="A83:H83"/>
    <mergeCell ref="A84:H84"/>
    <mergeCell ref="A86:H86"/>
    <mergeCell ref="A88:H88"/>
    <mergeCell ref="A102:H102"/>
    <mergeCell ref="A105:H105"/>
    <mergeCell ref="A107:H107"/>
    <mergeCell ref="A120:H120"/>
    <mergeCell ref="A122:H122"/>
    <mergeCell ref="A133:H133"/>
    <mergeCell ref="A143:H143"/>
    <mergeCell ref="A157:H157"/>
    <mergeCell ref="A160:H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2026-05-10T15:30:14Z</dcterms:created>
  <dc:creator>openpyxl</dc:creator>
  <dc:description/>
  <dc:language>en-US</dc:language>
  <cp:lastModifiedBy/>
  <dcterms:modified xsi:type="dcterms:W3CDTF">2026-05-10T15:30:15Z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